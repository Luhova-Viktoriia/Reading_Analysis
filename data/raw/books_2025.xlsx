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vicky\data analyst\books 2025\pet project_books 2025\"/>
    </mc:Choice>
  </mc:AlternateContent>
  <xr:revisionPtr revIDLastSave="0" documentId="13_ncr:1_{B7D44540-E9BC-487B-8E4A-7AC3161AD9FB}" xr6:coauthVersionLast="47" xr6:coauthVersionMax="47" xr10:uidLastSave="{00000000-0000-0000-0000-000000000000}"/>
  <bookViews>
    <workbookView xWindow="-120" yWindow="-120" windowWidth="29040" windowHeight="15720" xr2:uid="{2E4C68BC-4E01-481A-9BA0-2745D6F6B791}"/>
  </bookViews>
  <sheets>
    <sheet name="book_raw" sheetId="1" r:id="rId1"/>
    <sheet name="quotes" sheetId="2" r:id="rId2"/>
    <sheet name="books_by_month" sheetId="7" r:id="rId3"/>
    <sheet name="summary_2025" sheetId="6" r:id="rId4"/>
    <sheet name="book_series" sheetId="4" r:id="rId5"/>
    <sheet name="book_series_all" sheetId="5" r:id="rId6"/>
  </sheet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2" i="1" l="1"/>
  <c r="A2" i="1" a="1"/>
  <c r="A2" i="1" s="1"/>
  <c r="A3" i="1" a="1"/>
  <c r="A3" i="1" s="1"/>
  <c r="A4" i="1" a="1"/>
  <c r="A4" i="1" s="1"/>
  <c r="A5" i="1" a="1"/>
  <c r="A5" i="1" s="1"/>
  <c r="A6" i="1" a="1"/>
  <c r="A6" i="1" s="1"/>
  <c r="A7" i="1" a="1"/>
  <c r="A7" i="1" s="1"/>
  <c r="A8" i="1" a="1"/>
  <c r="A8" i="1" s="1"/>
  <c r="A9" i="1" a="1"/>
  <c r="A9" i="1" s="1"/>
  <c r="A10" i="1" a="1"/>
  <c r="A10" i="1" s="1"/>
  <c r="A19" i="2" s="1"/>
  <c r="A11" i="1" a="1"/>
  <c r="A11" i="1" s="1"/>
  <c r="A21" i="2" s="1"/>
  <c r="A12" i="1" a="1"/>
  <c r="A12" i="1" s="1"/>
  <c r="A24" i="2" s="1"/>
  <c r="A13" i="1" a="1"/>
  <c r="A13" i="1" s="1"/>
  <c r="A14" i="1" a="1"/>
  <c r="A14" i="1" s="1"/>
  <c r="A15" i="1" a="1"/>
  <c r="A15" i="1" s="1"/>
  <c r="A16" i="1" a="1"/>
  <c r="A16" i="1" s="1"/>
  <c r="A17" i="1" a="1"/>
  <c r="A17" i="1" s="1"/>
  <c r="A18" i="1" a="1"/>
  <c r="A18" i="1" s="1"/>
  <c r="A33" i="2" s="1"/>
  <c r="A19" i="1" a="1"/>
  <c r="A19" i="1" s="1"/>
  <c r="A20" i="1" a="1"/>
  <c r="A20" i="1" s="1"/>
  <c r="A21" i="1" a="1"/>
  <c r="A21" i="1" s="1"/>
  <c r="A22" i="1" a="1"/>
  <c r="A22" i="1" s="1"/>
  <c r="A23" i="1" a="1"/>
  <c r="A23" i="1" s="1"/>
  <c r="A24" i="1" a="1"/>
  <c r="A24" i="1" s="1"/>
  <c r="A25" i="1" a="1"/>
  <c r="A25" i="1" s="1"/>
  <c r="A26" i="1" a="1"/>
  <c r="A26" i="1" s="1"/>
  <c r="A27" i="1" a="1"/>
  <c r="A27" i="1" s="1"/>
  <c r="A28" i="1" a="1"/>
  <c r="A28" i="1" s="1"/>
  <c r="A29" i="1" a="1"/>
  <c r="A29" i="1" s="1"/>
  <c r="A30" i="1" a="1"/>
  <c r="A30" i="1" s="1"/>
  <c r="A31" i="1" a="1"/>
  <c r="A31" i="1" s="1"/>
  <c r="A32" i="1" a="1"/>
  <c r="A32" i="1" s="1"/>
  <c r="A33" i="1" a="1"/>
  <c r="A33" i="1" s="1"/>
  <c r="A34" i="1" a="1"/>
  <c r="A34" i="1" s="1"/>
  <c r="A35" i="1" a="1"/>
  <c r="A35" i="1" s="1"/>
  <c r="A36" i="1" a="1"/>
  <c r="A36" i="1" s="1"/>
  <c r="A37" i="1" a="1"/>
  <c r="A37" i="1" s="1"/>
  <c r="A38" i="1" a="1"/>
  <c r="A38" i="1" s="1"/>
  <c r="A39" i="1" a="1"/>
  <c r="A39" i="1" s="1"/>
  <c r="A40" i="1" a="1"/>
  <c r="A40" i="1" s="1"/>
  <c r="A41" i="1" a="1"/>
  <c r="A41" i="1" s="1"/>
  <c r="A42" i="1" a="1"/>
  <c r="A42" i="1" s="1"/>
  <c r="A43" i="1" a="1"/>
  <c r="A43" i="1" s="1"/>
  <c r="A44" i="1" a="1"/>
  <c r="A44" i="1" s="1"/>
  <c r="A45" i="1" a="1"/>
  <c r="A45" i="1" s="1"/>
  <c r="A46" i="1" a="1"/>
  <c r="A46" i="1" s="1"/>
  <c r="A47" i="1" a="1"/>
  <c r="A47" i="1" s="1"/>
  <c r="A48" i="1" a="1"/>
  <c r="A48" i="1" s="1"/>
  <c r="A49" i="1" a="1"/>
  <c r="A49" i="1" s="1"/>
  <c r="A50" i="1" a="1"/>
  <c r="A50" i="1" s="1"/>
  <c r="A51" i="1" a="1"/>
  <c r="A51" i="1" s="1"/>
  <c r="A52" i="1" a="1"/>
  <c r="A52" i="1" s="1"/>
  <c r="A53" i="1" a="1"/>
  <c r="A53" i="1" s="1"/>
  <c r="A54" i="1" a="1"/>
  <c r="A54" i="1" s="1"/>
  <c r="A55" i="1" a="1"/>
  <c r="A55" i="1" s="1"/>
  <c r="A56" i="1" a="1"/>
  <c r="A56" i="1" s="1"/>
  <c r="A57" i="1" a="1"/>
  <c r="A57" i="1" s="1"/>
  <c r="A58" i="1" a="1"/>
  <c r="A58" i="1" s="1"/>
  <c r="A59" i="1" a="1"/>
  <c r="A59" i="1" s="1"/>
  <c r="A60" i="1" a="1"/>
  <c r="A60" i="1" s="1"/>
  <c r="A61" i="1" a="1"/>
  <c r="A61" i="1" s="1"/>
  <c r="A62" i="1" a="1"/>
  <c r="A62" i="1" s="1"/>
  <c r="A63" i="1" a="1"/>
  <c r="A63" i="1" s="1"/>
  <c r="A64" i="1" a="1"/>
  <c r="A64" i="1" s="1"/>
  <c r="A65" i="1" a="1"/>
  <c r="A65" i="1" s="1"/>
  <c r="A66" i="1" a="1"/>
  <c r="A66" i="1" s="1"/>
  <c r="A67" i="1" a="1"/>
  <c r="A67" i="1" s="1"/>
  <c r="A68" i="1" a="1"/>
  <c r="A68" i="1" s="1"/>
  <c r="A69" i="1" a="1"/>
  <c r="A69" i="1" s="1"/>
  <c r="A70" i="1" a="1"/>
  <c r="A70" i="1" s="1"/>
  <c r="A71" i="1" a="1"/>
  <c r="A71" i="1" s="1"/>
  <c r="A72" i="1" a="1"/>
  <c r="A72" i="1" s="1"/>
  <c r="A73" i="1" a="1"/>
  <c r="A73" i="1" s="1"/>
  <c r="A74" i="1" a="1"/>
  <c r="A74" i="1" s="1"/>
  <c r="A75" i="1" a="1"/>
  <c r="A75" i="1" s="1"/>
  <c r="A76" i="1" a="1"/>
  <c r="A76" i="1" s="1"/>
  <c r="A77" i="1" a="1"/>
  <c r="A77" i="1" s="1"/>
  <c r="A78" i="1" a="1"/>
  <c r="A78" i="1" s="1"/>
  <c r="A79" i="1" a="1"/>
  <c r="A79" i="1" s="1"/>
  <c r="A80" i="1" a="1"/>
  <c r="A80" i="1" s="1"/>
  <c r="A81" i="1" a="1"/>
  <c r="A81" i="1" s="1"/>
  <c r="A82" i="1" a="1"/>
  <c r="A82" i="1" s="1"/>
  <c r="A83" i="1" a="1"/>
  <c r="A83" i="1" s="1"/>
  <c r="A84" i="1" a="1"/>
  <c r="A84" i="1" s="1"/>
  <c r="A85" i="1" a="1"/>
  <c r="A85" i="1" s="1"/>
  <c r="A86" i="1" a="1"/>
  <c r="A86" i="1" s="1"/>
  <c r="A87" i="1" a="1"/>
  <c r="A87" i="1" s="1"/>
  <c r="A88" i="1" a="1"/>
  <c r="A88" i="1" s="1"/>
  <c r="A89" i="1" a="1"/>
  <c r="A89" i="1" s="1"/>
  <c r="A90" i="1" a="1"/>
  <c r="A90" i="1" s="1"/>
  <c r="A91" i="1" a="1"/>
  <c r="A91" i="1" s="1"/>
  <c r="A92" i="1" a="1"/>
  <c r="A92" i="1" s="1"/>
  <c r="A93" i="1" a="1"/>
  <c r="A93" i="1" s="1"/>
  <c r="A94" i="1" a="1"/>
  <c r="A94" i="1" s="1"/>
  <c r="A95" i="1" a="1"/>
  <c r="A95" i="1" s="1"/>
  <c r="A96" i="1" a="1"/>
  <c r="A96" i="1" s="1"/>
  <c r="A97" i="1" a="1"/>
  <c r="A97" i="1" s="1"/>
  <c r="A98" i="1" a="1"/>
  <c r="A98" i="1" s="1"/>
  <c r="A99" i="1" a="1"/>
  <c r="A99" i="1" s="1"/>
  <c r="A100" i="1" a="1"/>
  <c r="A100" i="1" s="1"/>
  <c r="A101" i="1" a="1"/>
  <c r="A101" i="1" s="1"/>
  <c r="A102" i="1" a="1"/>
  <c r="A102" i="1" s="1"/>
  <c r="A103" i="1" a="1"/>
  <c r="A103" i="1" s="1"/>
  <c r="A104" i="1" a="1"/>
  <c r="A104" i="1" s="1"/>
  <c r="A105" i="1" a="1"/>
  <c r="A105" i="1" s="1"/>
  <c r="A106" i="1" a="1"/>
  <c r="A106" i="1" s="1"/>
  <c r="A107" i="1" a="1"/>
  <c r="A107" i="1" s="1"/>
  <c r="A108" i="1" a="1"/>
  <c r="A108" i="1" s="1"/>
  <c r="A109" i="1" a="1"/>
  <c r="A109" i="1" s="1"/>
  <c r="A110" i="1" a="1"/>
  <c r="A110" i="1" s="1"/>
  <c r="A111" i="1" a="1"/>
  <c r="A111" i="1" s="1"/>
  <c r="I9" i="7"/>
  <c r="I8" i="7"/>
  <c r="I7" i="7"/>
  <c r="D2" i="7"/>
  <c r="D3" i="7"/>
  <c r="D4" i="7"/>
  <c r="D5" i="7"/>
  <c r="D6" i="7"/>
  <c r="D7" i="7"/>
  <c r="D8" i="7"/>
  <c r="D9" i="7"/>
  <c r="D10" i="7"/>
  <c r="D11" i="7"/>
  <c r="D12" i="7"/>
  <c r="D13" i="7"/>
  <c r="C14" i="7"/>
  <c r="D2" i="5"/>
  <c r="F2" i="5" s="1"/>
  <c r="D3" i="5"/>
  <c r="F3" i="5" s="1"/>
  <c r="D4" i="5"/>
  <c r="F4" i="5" s="1"/>
  <c r="D5" i="5"/>
  <c r="F5" i="5" s="1"/>
  <c r="D6" i="5"/>
  <c r="F6" i="5" s="1"/>
  <c r="D7" i="5"/>
  <c r="F7" i="5" s="1"/>
  <c r="D8" i="5"/>
  <c r="F8" i="5" s="1"/>
  <c r="D9" i="5"/>
  <c r="F9" i="5" s="1"/>
  <c r="D10" i="5"/>
  <c r="F10" i="5" s="1"/>
  <c r="D11" i="5"/>
  <c r="F11" i="5" s="1"/>
  <c r="D12" i="5"/>
  <c r="F12" i="5" s="1"/>
  <c r="D13" i="5"/>
  <c r="F13" i="5" s="1"/>
  <c r="D14" i="5"/>
  <c r="F14" i="5" s="1"/>
  <c r="D15" i="5"/>
  <c r="F15" i="5" s="1"/>
  <c r="D16" i="5"/>
  <c r="F16" i="5" s="1"/>
  <c r="D17" i="5"/>
  <c r="F17" i="5" s="1"/>
  <c r="D18" i="5"/>
  <c r="F18" i="5" s="1"/>
  <c r="B3" i="7"/>
  <c r="B4" i="7"/>
  <c r="B5" i="7"/>
  <c r="B6" i="7"/>
  <c r="B7" i="7"/>
  <c r="B8" i="7"/>
  <c r="B9" i="7"/>
  <c r="B10" i="7"/>
  <c r="B11" i="7"/>
  <c r="B12" i="7"/>
  <c r="B13" i="7"/>
  <c r="B2" i="7"/>
  <c r="C10" i="2"/>
  <c r="C2" i="2"/>
  <c r="C3" i="2"/>
  <c r="C4" i="2"/>
  <c r="C5" i="2"/>
  <c r="C6" i="2"/>
  <c r="C7" i="2"/>
  <c r="C8" i="2"/>
  <c r="C9" i="2"/>
  <c r="C11" i="2"/>
  <c r="C12" i="2"/>
  <c r="C13" i="2"/>
  <c r="C14" i="2"/>
  <c r="C15" i="2"/>
  <c r="C16" i="2"/>
  <c r="C17" i="2"/>
  <c r="C18" i="2"/>
  <c r="C19" i="2"/>
  <c r="C20" i="2"/>
  <c r="C21" i="2"/>
  <c r="C22" i="2"/>
  <c r="C23" i="2"/>
  <c r="C24" i="2"/>
  <c r="C25" i="2"/>
  <c r="C28" i="2"/>
  <c r="C29" i="2"/>
  <c r="C30" i="2"/>
  <c r="C31" i="2"/>
  <c r="C32" i="2"/>
  <c r="C33" i="2"/>
  <c r="B3" i="6"/>
  <c r="B8" i="6"/>
  <c r="B7" i="6"/>
  <c r="B5" i="6"/>
  <c r="B6" i="6"/>
  <c r="B4" i="6"/>
  <c r="I4" i="7" l="1"/>
  <c r="I12" i="7"/>
  <c r="D14" i="7"/>
  <c r="I13" i="7"/>
  <c r="I14" i="7"/>
  <c r="I2" i="7"/>
  <c r="I3" i="7"/>
  <c r="B14" i="7"/>
  <c r="A3" i="2"/>
  <c r="A16" i="2"/>
  <c r="A2" i="2"/>
  <c r="A8" i="2"/>
  <c r="A5" i="2"/>
  <c r="A28" i="2"/>
  <c r="A10" i="2"/>
  <c r="A11" i="2"/>
  <c r="A29" i="2"/>
  <c r="A23" i="2"/>
  <c r="A13" i="2"/>
  <c r="A7" i="2"/>
  <c r="A15" i="2"/>
  <c r="A32" i="2"/>
  <c r="A14" i="2"/>
  <c r="A31" i="2"/>
  <c r="A30" i="2"/>
  <c r="A12" i="2"/>
  <c r="A25" i="2"/>
  <c r="A9" i="2"/>
  <c r="A22" i="2"/>
  <c r="A6" i="2"/>
  <c r="A20" i="2"/>
  <c r="A4" i="2"/>
  <c r="A18" i="2"/>
  <c r="A17" i="2"/>
  <c r="B2" i="6"/>
  <c r="A26" i="2"/>
  <c r="C26" i="2"/>
  <c r="A27" i="2"/>
  <c r="C27" i="2"/>
  <c r="A34" i="2"/>
  <c r="C34" i="2"/>
  <c r="A35" i="2"/>
  <c r="C35" i="2"/>
  <c r="A36" i="2"/>
  <c r="C36" i="2"/>
  <c r="A37" i="2"/>
  <c r="C37" i="2"/>
  <c r="A38" i="2"/>
  <c r="C38" i="2"/>
  <c r="A39" i="2"/>
  <c r="C39" i="2"/>
  <c r="A41" i="2"/>
  <c r="C41" i="2"/>
  <c r="A42" i="2"/>
  <c r="C42" i="2"/>
  <c r="A43" i="2"/>
  <c r="C43" i="2"/>
  <c r="A40" i="2"/>
  <c r="C40" i="2"/>
  <c r="C44" i="2"/>
  <c r="A44" i="2"/>
  <c r="A45" i="2"/>
  <c r="C45" i="2"/>
  <c r="A46" i="2"/>
  <c r="C46" i="2"/>
  <c r="A47" i="2"/>
  <c r="C47" i="2"/>
  <c r="C48" i="2"/>
  <c r="A48" i="2"/>
  <c r="A49" i="2"/>
  <c r="C49" i="2"/>
  <c r="A50" i="2"/>
  <c r="C50" i="2"/>
  <c r="A51" i="2"/>
  <c r="C51" i="2"/>
  <c r="A52" i="2"/>
  <c r="C52" i="2"/>
  <c r="A53" i="2"/>
  <c r="C53" i="2"/>
  <c r="C54" i="2"/>
  <c r="A54" i="2"/>
  <c r="A55" i="2"/>
  <c r="C55" i="2"/>
  <c r="A56" i="2"/>
  <c r="C56" i="2"/>
  <c r="A57" i="2"/>
  <c r="C57" i="2"/>
  <c r="A58" i="2"/>
  <c r="C58" i="2"/>
  <c r="A59" i="2"/>
  <c r="C59" i="2"/>
  <c r="A60" i="2"/>
  <c r="C60" i="2"/>
  <c r="A61" i="2"/>
  <c r="C61" i="2"/>
  <c r="A62" i="2"/>
  <c r="C62" i="2"/>
  <c r="A63" i="2"/>
  <c r="C63" i="2"/>
  <c r="A64" i="2"/>
  <c r="C64" i="2"/>
  <c r="A65" i="2"/>
  <c r="C65" i="2"/>
  <c r="A87" i="2"/>
  <c r="B87" i="2"/>
  <c r="C87" i="2"/>
  <c r="A88" i="2"/>
  <c r="B88" i="2"/>
  <c r="C88" i="2"/>
  <c r="A84" i="2"/>
  <c r="B84" i="2"/>
  <c r="C84" i="2"/>
  <c r="A71" i="2"/>
  <c r="B71" i="2"/>
  <c r="C71" i="2"/>
  <c r="C74" i="2"/>
  <c r="B74" i="2"/>
  <c r="A74" i="2"/>
  <c r="A79" i="2"/>
  <c r="B79" i="2"/>
  <c r="C79" i="2"/>
  <c r="A77" i="2"/>
  <c r="B77" i="2"/>
  <c r="C77" i="2"/>
  <c r="A82" i="2"/>
  <c r="B82" i="2"/>
  <c r="C82" i="2"/>
  <c r="A69" i="2"/>
  <c r="B69" i="2"/>
  <c r="C69" i="2"/>
  <c r="A80" i="2"/>
  <c r="B80" i="2"/>
  <c r="C80" i="2"/>
  <c r="A83" i="2"/>
  <c r="B83" i="2"/>
  <c r="C83" i="2"/>
  <c r="A85" i="2"/>
  <c r="B85" i="2"/>
  <c r="C85" i="2"/>
  <c r="A68" i="2"/>
  <c r="B68" i="2"/>
  <c r="C68" i="2"/>
  <c r="A89" i="2"/>
  <c r="B89" i="2"/>
  <c r="C89" i="2"/>
  <c r="A66" i="2"/>
  <c r="B66" i="2"/>
  <c r="C66" i="2"/>
  <c r="A81" i="2"/>
  <c r="B81" i="2"/>
  <c r="C81" i="2"/>
  <c r="A70" i="2"/>
  <c r="B70" i="2"/>
  <c r="C70" i="2"/>
  <c r="A73" i="2"/>
  <c r="B73" i="2"/>
  <c r="C73" i="2"/>
  <c r="A86" i="2"/>
  <c r="B86" i="2"/>
  <c r="C86" i="2"/>
  <c r="A76" i="2"/>
  <c r="B76" i="2"/>
  <c r="C76" i="2"/>
  <c r="A75" i="2"/>
  <c r="B75" i="2"/>
  <c r="C75" i="2"/>
  <c r="A78" i="2"/>
  <c r="B78" i="2"/>
  <c r="C78" i="2"/>
  <c r="A72" i="2"/>
  <c r="B72" i="2"/>
  <c r="C72" i="2"/>
  <c r="A67" i="2"/>
  <c r="B67" i="2"/>
  <c r="C6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<sst xmlns="http://schemas.openxmlformats.org/spreadsheetml/2006/main" count="1298" uniqueCount="464">
  <si>
    <t>book_id</t>
  </si>
  <si>
    <t>format</t>
  </si>
  <si>
    <t>language</t>
  </si>
  <si>
    <t>pages</t>
  </si>
  <si>
    <t>rating</t>
  </si>
  <si>
    <t>owned</t>
  </si>
  <si>
    <t>year_published</t>
  </si>
  <si>
    <t>has_quotes</t>
  </si>
  <si>
    <t>Читець</t>
  </si>
  <si>
    <t>author_first_name</t>
  </si>
  <si>
    <t>author_last_name</t>
  </si>
  <si>
    <t>Бернхард</t>
  </si>
  <si>
    <t xml:space="preserve">Шлінк </t>
  </si>
  <si>
    <t>роман</t>
  </si>
  <si>
    <t>yes</t>
  </si>
  <si>
    <t>series_number</t>
  </si>
  <si>
    <t>top_book</t>
  </si>
  <si>
    <t>+</t>
  </si>
  <si>
    <t>Ukrainian</t>
  </si>
  <si>
    <t>Print</t>
  </si>
  <si>
    <t>Емоційний інтелект у дитини</t>
  </si>
  <si>
    <t>Ми, живі</t>
  </si>
  <si>
    <t>Айн</t>
  </si>
  <si>
    <t>Ренд</t>
  </si>
  <si>
    <t>Готтман, Деклер</t>
  </si>
  <si>
    <t>Джон, Джоан</t>
  </si>
  <si>
    <t>психологія</t>
  </si>
  <si>
    <t>The secret garden</t>
  </si>
  <si>
    <t>Burnett</t>
  </si>
  <si>
    <t>no</t>
  </si>
  <si>
    <t>English</t>
  </si>
  <si>
    <t>Frances Hodgson</t>
  </si>
  <si>
    <t>Необхідне зло</t>
  </si>
  <si>
    <t>Абір</t>
  </si>
  <si>
    <t>Мухерджі</t>
  </si>
  <si>
    <t>Audio</t>
  </si>
  <si>
    <t>Незриме життя Адді Лярю</t>
  </si>
  <si>
    <t>Шваб</t>
  </si>
  <si>
    <t>Ebook</t>
  </si>
  <si>
    <t>фентезі</t>
  </si>
  <si>
    <t>детектив</t>
  </si>
  <si>
    <t>Дим і попіл</t>
  </si>
  <si>
    <t>Дім голосів</t>
  </si>
  <si>
    <t>Каррізі</t>
  </si>
  <si>
    <t>Донато</t>
  </si>
  <si>
    <t>Машина часу</t>
  </si>
  <si>
    <t>Герберт</t>
  </si>
  <si>
    <t>Веллс</t>
  </si>
  <si>
    <t>Холлі</t>
  </si>
  <si>
    <t>Стівен</t>
  </si>
  <si>
    <t>Кінг</t>
  </si>
  <si>
    <t>Червоні лубутени</t>
  </si>
  <si>
    <t>Джоджо</t>
  </si>
  <si>
    <t>любовний роман</t>
  </si>
  <si>
    <t>історичний роман</t>
  </si>
  <si>
    <t>психологічний трилер</t>
  </si>
  <si>
    <t>Мойєс</t>
  </si>
  <si>
    <t>Список бажань</t>
  </si>
  <si>
    <t>Колфер</t>
  </si>
  <si>
    <t>фантастична повість</t>
  </si>
  <si>
    <t>Йон</t>
  </si>
  <si>
    <t>Смерть на Сході</t>
  </si>
  <si>
    <t>Крамничка на розі</t>
  </si>
  <si>
    <t>дитяча новела</t>
  </si>
  <si>
    <t>Вікторія</t>
  </si>
  <si>
    <t>історичне фентезі</t>
  </si>
  <si>
    <t>Північний вітер</t>
  </si>
  <si>
    <t>Даніель</t>
  </si>
  <si>
    <t>Глаттауер</t>
  </si>
  <si>
    <t>Бальзам для душі</t>
  </si>
  <si>
    <t>Норберт</t>
  </si>
  <si>
    <t>Лехляйтнер</t>
  </si>
  <si>
    <t>релігія, християнство</t>
  </si>
  <si>
    <t>Червоний дракон</t>
  </si>
  <si>
    <t>Томас</t>
  </si>
  <si>
    <t>Гарріс</t>
  </si>
  <si>
    <t>жахи, трилер</t>
  </si>
  <si>
    <t>Часосховище</t>
  </si>
  <si>
    <t>Георгі</t>
  </si>
  <si>
    <t>Господінов</t>
  </si>
  <si>
    <t>Мовчання ягнят</t>
  </si>
  <si>
    <t>Ганнібал</t>
  </si>
  <si>
    <t>Around the world in eighty days</t>
  </si>
  <si>
    <t>Jules</t>
  </si>
  <si>
    <t>Verne</t>
  </si>
  <si>
    <t>Сходження Ганнібала</t>
  </si>
  <si>
    <t>Четверте крило</t>
  </si>
  <si>
    <t>Ребекка</t>
  </si>
  <si>
    <t>Яррос</t>
  </si>
  <si>
    <t>романтичне фентезі</t>
  </si>
  <si>
    <t>Дев'ять життів Крістофера Чанта</t>
  </si>
  <si>
    <t>Діана Вінн</t>
  </si>
  <si>
    <t>Джонс</t>
  </si>
  <si>
    <t>дитяче фентезі</t>
  </si>
  <si>
    <t>Залізне полум'я</t>
  </si>
  <si>
    <t>Смарагдове небо</t>
  </si>
  <si>
    <t>Ілона</t>
  </si>
  <si>
    <t>Верхівська-Ельтек</t>
  </si>
  <si>
    <t>поезія</t>
  </si>
  <si>
    <t>read_order</t>
  </si>
  <si>
    <t>book_title</t>
  </si>
  <si>
    <t>Поглиначі мертвих</t>
  </si>
  <si>
    <t>Майкл</t>
  </si>
  <si>
    <t>Крайтон</t>
  </si>
  <si>
    <t>Типу Б'юїк 8</t>
  </si>
  <si>
    <t>book_genre</t>
  </si>
  <si>
    <t>Родаки</t>
  </si>
  <si>
    <t>Дмитро</t>
  </si>
  <si>
    <t>Кешеля</t>
  </si>
  <si>
    <t>роман-колаж</t>
  </si>
  <si>
    <t>Штормовий фронт</t>
  </si>
  <si>
    <t>Джим</t>
  </si>
  <si>
    <t>Бутчер</t>
  </si>
  <si>
    <t>міське детективне фентезі</t>
  </si>
  <si>
    <t>Невгамовні мерці</t>
  </si>
  <si>
    <t>Саймон</t>
  </si>
  <si>
    <t>Бекетт</t>
  </si>
  <si>
    <t>детективний трилер</t>
  </si>
  <si>
    <t>фантастика; жахи</t>
  </si>
  <si>
    <t>Безрозсудний місяць</t>
  </si>
  <si>
    <t>Смертельна небезпека</t>
  </si>
  <si>
    <t>Палюче тепло вб'є нас найперше</t>
  </si>
  <si>
    <t>Джефф</t>
  </si>
  <si>
    <t>Гуделл</t>
  </si>
  <si>
    <t>наук-поп</t>
  </si>
  <si>
    <t>Зоряні війни: Стара Республіка: Реван</t>
  </si>
  <si>
    <t>Дрю</t>
  </si>
  <si>
    <t>Карпишин</t>
  </si>
  <si>
    <t>наукова фантастика</t>
  </si>
  <si>
    <t>Війна з саламандрами</t>
  </si>
  <si>
    <t>Карел</t>
  </si>
  <si>
    <t>Чапек</t>
  </si>
  <si>
    <t>фантастика; антиутопія</t>
  </si>
  <si>
    <t>Запах смерті</t>
  </si>
  <si>
    <t>Гаррі Поттер і методи раціональності</t>
  </si>
  <si>
    <t>Еліезер</t>
  </si>
  <si>
    <t>Юдковський</t>
  </si>
  <si>
    <t>фентезі; фанфік</t>
  </si>
  <si>
    <t>Гаррі Поттер та ігри професора</t>
  </si>
  <si>
    <t>Соляріс</t>
  </si>
  <si>
    <t>Станіслав</t>
  </si>
  <si>
    <t>Лем</t>
  </si>
  <si>
    <t>Доторк темряви</t>
  </si>
  <si>
    <t>Скарлетт</t>
  </si>
  <si>
    <t>Сент-Клер</t>
  </si>
  <si>
    <t>міфологічне фентезі</t>
  </si>
  <si>
    <t>Стерв'ятник - птах терплячий</t>
  </si>
  <si>
    <t>Джеймс</t>
  </si>
  <si>
    <t>Хедлі Чейз</t>
  </si>
  <si>
    <t>Гра долі</t>
  </si>
  <si>
    <t>Регтайм</t>
  </si>
  <si>
    <t>Едгар Лоуренс</t>
  </si>
  <si>
    <t>Доктороу</t>
  </si>
  <si>
    <t>Доторк спустошення</t>
  </si>
  <si>
    <t>Хижа</t>
  </si>
  <si>
    <t>Вільям Пол</t>
  </si>
  <si>
    <t>Янг</t>
  </si>
  <si>
    <t>християнський роман</t>
  </si>
  <si>
    <t>Гра відплати</t>
  </si>
  <si>
    <t>Три мушкетери</t>
  </si>
  <si>
    <t>Олександр</t>
  </si>
  <si>
    <t>Дюма</t>
  </si>
  <si>
    <t>пригодницьки й роман</t>
  </si>
  <si>
    <t>Міккі 7</t>
  </si>
  <si>
    <t>Едвард</t>
  </si>
  <si>
    <t>Ештон</t>
  </si>
  <si>
    <t>науково-фантастичний роман</t>
  </si>
  <si>
    <t>Художник хиткого світу</t>
  </si>
  <si>
    <t>Кадзуо</t>
  </si>
  <si>
    <t>Ішігуро</t>
  </si>
  <si>
    <t>Не моє ім'я</t>
  </si>
  <si>
    <t>Меган</t>
  </si>
  <si>
    <t>Лаллі</t>
  </si>
  <si>
    <t>Гудзики та мереживо</t>
  </si>
  <si>
    <t>Пенелопа</t>
  </si>
  <si>
    <t>Скай</t>
  </si>
  <si>
    <t>Блюз антиматерії</t>
  </si>
  <si>
    <t>Гудзики та ненависть</t>
  </si>
  <si>
    <t>Гудзики та страждання</t>
  </si>
  <si>
    <t>Приворотне зілля</t>
  </si>
  <si>
    <t>Брати</t>
  </si>
  <si>
    <t>Капранови</t>
  </si>
  <si>
    <t>містичний роман</t>
  </si>
  <si>
    <t>Гра Ендера</t>
  </si>
  <si>
    <t>Орсон Скотт</t>
  </si>
  <si>
    <t>Кард</t>
  </si>
  <si>
    <t>Світло у промені</t>
  </si>
  <si>
    <t>Дженніфер</t>
  </si>
  <si>
    <t>Арментраут</t>
  </si>
  <si>
    <t>Чорний дім</t>
  </si>
  <si>
    <t>Стівен, Пітер</t>
  </si>
  <si>
    <t>Кінг, Страуб</t>
  </si>
  <si>
    <t>Витязь і вірлиця</t>
  </si>
  <si>
    <t>Наталія</t>
  </si>
  <si>
    <t>Довгопол</t>
  </si>
  <si>
    <t>чаклунське романтичне фентезі</t>
  </si>
  <si>
    <t>Сходи, що кричать</t>
  </si>
  <si>
    <t>Джонатан</t>
  </si>
  <si>
    <t>Страуд</t>
  </si>
  <si>
    <t>підліткове фентезі</t>
  </si>
  <si>
    <t>Панк 57</t>
  </si>
  <si>
    <t>Дуглас</t>
  </si>
  <si>
    <t>дарк роман</t>
  </si>
  <si>
    <t>Череп, що шепоче</t>
  </si>
  <si>
    <t>Примарний хлопець</t>
  </si>
  <si>
    <t>Тінь, що крадеться</t>
  </si>
  <si>
    <t>Порожня могила</t>
  </si>
  <si>
    <t>Сліпа лють</t>
  </si>
  <si>
    <t>Наталі</t>
  </si>
  <si>
    <t>Гейнс</t>
  </si>
  <si>
    <t>Гудзики та сором</t>
  </si>
  <si>
    <t>Гудзики та провина</t>
  </si>
  <si>
    <t>Гудзики та грація</t>
  </si>
  <si>
    <t>Аріадна</t>
  </si>
  <si>
    <t>Сейнт</t>
  </si>
  <si>
    <t>Сіддхартха</t>
  </si>
  <si>
    <t>Герман</t>
  </si>
  <si>
    <t>Гессе</t>
  </si>
  <si>
    <t>філософський роман</t>
  </si>
  <si>
    <t>Цирцея</t>
  </si>
  <si>
    <t>Медлін</t>
  </si>
  <si>
    <t>Міллер</t>
  </si>
  <si>
    <t>Життя після життя</t>
  </si>
  <si>
    <t>Раймонд</t>
  </si>
  <si>
    <t>Моуді</t>
  </si>
  <si>
    <t>Дерева</t>
  </si>
  <si>
    <t>Персіваль</t>
  </si>
  <si>
    <t>Еверетт</t>
  </si>
  <si>
    <t>історичий роман; чорний гумор</t>
  </si>
  <si>
    <t>Портрет Доріана Грея</t>
  </si>
  <si>
    <t>Оскар</t>
  </si>
  <si>
    <t>Уальд</t>
  </si>
  <si>
    <t>готичний роман</t>
  </si>
  <si>
    <t>Оксфордські вбивства</t>
  </si>
  <si>
    <t>Гільєрмо</t>
  </si>
  <si>
    <t>Мартінес</t>
  </si>
  <si>
    <t>інтелектуальний детектив</t>
  </si>
  <si>
    <t>Айвенго</t>
  </si>
  <si>
    <t>Вальтер</t>
  </si>
  <si>
    <t>Скотт</t>
  </si>
  <si>
    <t>Гера</t>
  </si>
  <si>
    <t>Янкі з Коннектикуту при дворі короля Артура</t>
  </si>
  <si>
    <t>Марк</t>
  </si>
  <si>
    <t>Твен</t>
  </si>
  <si>
    <t>Електра</t>
  </si>
  <si>
    <t>Поверни мене в Японію</t>
  </si>
  <si>
    <t>Галина</t>
  </si>
  <si>
    <t>Ів</t>
  </si>
  <si>
    <t>міське фентезі</t>
  </si>
  <si>
    <t>Пісня Ахілла</t>
  </si>
  <si>
    <t>Демон Проспера. Потойбічник</t>
  </si>
  <si>
    <t>К.Дж</t>
  </si>
  <si>
    <t>Паркер</t>
  </si>
  <si>
    <t>темне фентезі</t>
  </si>
  <si>
    <t>Аталанта</t>
  </si>
  <si>
    <t>Звіробій</t>
  </si>
  <si>
    <t>Джеймс Фенімор</t>
  </si>
  <si>
    <t>Купер</t>
  </si>
  <si>
    <t>Доньки Спарти</t>
  </si>
  <si>
    <t>Клер</t>
  </si>
  <si>
    <t>Гейвуд</t>
  </si>
  <si>
    <t>Хроніки Нарнії: Лев, Чаклунка та шафа</t>
  </si>
  <si>
    <t>Клайв Стейплз</t>
  </si>
  <si>
    <t>Льюїс</t>
  </si>
  <si>
    <t>Хроніки Нарнії: Принц Каспіан</t>
  </si>
  <si>
    <t>Клітемнестра</t>
  </si>
  <si>
    <t>Казаті</t>
  </si>
  <si>
    <t>Констанца</t>
  </si>
  <si>
    <t>Хроніки Нарнії: Морські пригоди</t>
  </si>
  <si>
    <t>Хроніки Нарнії: Срібний трон</t>
  </si>
  <si>
    <t>Хроніки Нарнії: Кінь і його хлопчик</t>
  </si>
  <si>
    <t>Хроніки Нарнії: Небіж чаклуна</t>
  </si>
  <si>
    <t>Персі Джексон і олімпійці: викрадач блискавок</t>
  </si>
  <si>
    <t>Рік</t>
  </si>
  <si>
    <t>Ріордан</t>
  </si>
  <si>
    <t>Хроніки Нарнії: Остання битва</t>
  </si>
  <si>
    <t>Персі Джексон і олімпійці: море чудовиськ</t>
  </si>
  <si>
    <t>За річкою, в затінку дерев</t>
  </si>
  <si>
    <t>Ернест</t>
  </si>
  <si>
    <t>Хемінгуей</t>
  </si>
  <si>
    <t>Персі Джексон і олімпійці: прокляття титана</t>
  </si>
  <si>
    <t>Відверто про Клавдію</t>
  </si>
  <si>
    <t>Деніел</t>
  </si>
  <si>
    <t>Кіз</t>
  </si>
  <si>
    <t>Велика ілюзія</t>
  </si>
  <si>
    <t>Міка</t>
  </si>
  <si>
    <t>Валтарі</t>
  </si>
  <si>
    <t>Тіні людей</t>
  </si>
  <si>
    <t>Попіл лине до неба</t>
  </si>
  <si>
    <t>Нін, Матьє</t>
  </si>
  <si>
    <t>Горман, Гібс</t>
  </si>
  <si>
    <t>Непрохані поради для вбивць від Віри Вон</t>
  </si>
  <si>
    <t>Джессі</t>
  </si>
  <si>
    <t>Сутанто</t>
  </si>
  <si>
    <t>гумористичний детектив</t>
  </si>
  <si>
    <t>Людина у високому замку</t>
  </si>
  <si>
    <t>Філіп К.</t>
  </si>
  <si>
    <t>Дік</t>
  </si>
  <si>
    <t>антиутопія</t>
  </si>
  <si>
    <t>Варта у грі</t>
  </si>
  <si>
    <t>Затьмарення</t>
  </si>
  <si>
    <t>Книгоїди</t>
  </si>
  <si>
    <t>Біла пошесть</t>
  </si>
  <si>
    <t>Матолінець</t>
  </si>
  <si>
    <t>Суньї</t>
  </si>
  <si>
    <t>Дін</t>
  </si>
  <si>
    <t>Бентон</t>
  </si>
  <si>
    <t xml:space="preserve">науково-фантастичний роман; психологічна проза; кіберпанк </t>
  </si>
  <si>
    <t>готичний трилер</t>
  </si>
  <si>
    <t>антивоєнна драма/п'єса</t>
  </si>
  <si>
    <t>наук-поп (палеобіологія)</t>
  </si>
  <si>
    <t>series_name</t>
  </si>
  <si>
    <t>Ганнібал Лектер</t>
  </si>
  <si>
    <t>капітан Віндгем та сержант Бенерджі</t>
  </si>
  <si>
    <t>Справи Дрездена</t>
  </si>
  <si>
    <t>Девід Хантер</t>
  </si>
  <si>
    <t>Хроніки Нарнії</t>
  </si>
  <si>
    <t>Агенція "Локвуд і Ко"</t>
  </si>
  <si>
    <t>Гаррі Поттер (фанфік)</t>
  </si>
  <si>
    <t>Емпіреї</t>
  </si>
  <si>
    <t>Гадес і Персефона</t>
  </si>
  <si>
    <t>Трилогія про Кроу та Перл</t>
  </si>
  <si>
    <t>Трилогія про Кейна та Аделіну</t>
  </si>
  <si>
    <t>Персі Джексон і боги-олімпійці</t>
  </si>
  <si>
    <t>Слідство П'єтро Джербера</t>
  </si>
  <si>
    <t>Попіл лине до неба. Том 1</t>
  </si>
  <si>
    <t>Плоть і вогонь</t>
  </si>
  <si>
    <t>Row Labels</t>
  </si>
  <si>
    <t>Grand Total</t>
  </si>
  <si>
    <t>Count of book_id</t>
  </si>
  <si>
    <t>Total books</t>
  </si>
  <si>
    <t>Total pages</t>
  </si>
  <si>
    <t>Print books</t>
  </si>
  <si>
    <t>Ebooks</t>
  </si>
  <si>
    <t>Audiobooks</t>
  </si>
  <si>
    <t>Top books</t>
  </si>
  <si>
    <t>Books with quotes</t>
  </si>
  <si>
    <t>books_read</t>
  </si>
  <si>
    <t>total_books_in_series</t>
  </si>
  <si>
    <t>status</t>
  </si>
  <si>
    <t>Metric</t>
  </si>
  <si>
    <t>Count</t>
  </si>
  <si>
    <t>Book_ID</t>
  </si>
  <si>
    <t>Коли людина прогавила слушну мить, коли надто довго не може чогось досягти, коли їй задовго відмовляють у чомусь, потім усе з'являється запізно, навіть якщо вона нарешті виборює все своїми зусиллями і з радістю сприймає здобутки.</t>
  </si>
  <si>
    <t>Мета емоційного виховання в тому, щоб вивчити й зрозуміти емоції, а не придушити їх.</t>
  </si>
  <si>
    <t>Емоційне виховання має на меті глибший рівень емпатії та можливості вислухати. Будьте союзником дитини, коли вона приходить по допомогу.</t>
  </si>
  <si>
    <t xml:space="preserve"> read_order</t>
  </si>
  <si>
    <t>quote_text</t>
  </si>
  <si>
    <t>Хто страждає в цьому світі? Ті, кому чогось бракує? Ні, ті, хто мають таке, чого б їм ліпше бракувало.</t>
  </si>
  <si>
    <t>3</t>
  </si>
  <si>
    <t>Коли нема апетиту до життя, то навіщо сідати до столу?</t>
  </si>
  <si>
    <t>4</t>
  </si>
  <si>
    <t>Кожна чесна людина живе задля себе. А той, хто не живе для себе, - той узагалі не живе.</t>
  </si>
  <si>
    <t>At first people refuse to believe that a strange new thing can be done, then they begin to hope it can be done, then they see it can be done—then it is done and all the world wonders why it was not done centuries ago.</t>
  </si>
  <si>
    <t>Thought are as powerful as electric batteries - as good for one as sunlight is, or as bad for one as poison.</t>
  </si>
  <si>
    <t>Істина та її наслідки - це дві різні речі. Істина не передбачає справедливості, як і високе походження не передбачає мудрості. Я знаю, що ваша душа прагне істини. Якщо доживете до справедливості, що ж, добре, якщо ні, то тому й бути. У будь-якому випадку справедливість може набувати різного вигляду.</t>
  </si>
  <si>
    <t>5</t>
  </si>
  <si>
    <t>Книжки дають змогу прожити тисячі життів - або знайти сили в одному, але дуже довгому.</t>
  </si>
  <si>
    <t>6</t>
  </si>
  <si>
    <t>На відміну від спогадів, ідеї такі сильні, що завжди прагнуть і шукають способу пустити коріння.</t>
  </si>
  <si>
    <t>На кожну тінь знайдеться світло.</t>
  </si>
  <si>
    <t>Навіть каміння стирається на порох.</t>
  </si>
  <si>
    <t>Ми пам'ятаємо минуле, щоб підготуватись до майбутнього.</t>
  </si>
  <si>
    <t>8</t>
  </si>
  <si>
    <t>Іноді в нас є всі деталі, щоб збагнути правду, але ми просто не дуже хочемо її знати.</t>
  </si>
  <si>
    <t>Ті, хто зазнав насильства, більш схильні повертати пережите зло, ніж ті, кого завжди любили.</t>
  </si>
  <si>
    <t>Деякі історії мають щасливий кінець. Добро перемагає, ЗМІ радіють, люди зворушені. Але ніхто ніколи не знає, що відбувається після цього моменту. І мало кого це цікавить. Якщо подумати, ніхто не хотів дати суворій реальності зіпсувати гарний фінал.</t>
  </si>
  <si>
    <t>При світлі зірок усі турботи і прикрощі земного життя здалися мені нікчемними. Я подумав про те, як вони нескінченно далекі, як повільно рухаються з невідомого минулого до невідомого майбутнього.</t>
  </si>
  <si>
    <t>Там, де немає змін і потреб у змінах, розум гине.</t>
  </si>
  <si>
    <t>9</t>
  </si>
  <si>
    <t xml:space="preserve">Щойно ти думаєш, що побачив найгірше, на що здатні люди, як виявляється, що ти помиляєшся. Злу немає кінця. </t>
  </si>
  <si>
    <t xml:space="preserve">Якщо ти не хочеш чогось робити, зроби це в першу чергу. Тоді воно над тобою не висітиме. </t>
  </si>
  <si>
    <t>Мудрець готується до дощу, поки світить сонце.</t>
  </si>
  <si>
    <t>10</t>
  </si>
  <si>
    <t>Якщо ти не спроможа щось змінити, у тебе немає іншого вибору. Лишається тільки змінити своє ставлення до цього.</t>
  </si>
  <si>
    <t>11</t>
  </si>
  <si>
    <t>Скільки рішень ви ухвалюєте щодня, коли просто хочете зробити щось, а скільки - коли хочете уникнути наслідків власної бездіяльності.</t>
  </si>
  <si>
    <t>Надто важко жити там, де ти виросла. Всі про тебе все знають - твоїх батьків, куди ти ходила до школи, де працювала, з ким зустрічалася. Оскільки вони знають, що з тобою трапилось - принаймні деякі речі, - то вважають, що знають тебе. Гадають, що знають, хто ти. Не залишають тобі місця бути кимось іще.</t>
  </si>
  <si>
    <t>15</t>
  </si>
  <si>
    <t>14</t>
  </si>
  <si>
    <t>Я ніколи не розумів, що змушує сильних пригнічувати слабких і чому більшості так потрібно переслідувати тих, хто від них відрізняється.</t>
  </si>
  <si>
    <t>Підтримувати в людях обурення складно. Існує обмежена кількість способів, якими можна зробити з людини монстра.</t>
  </si>
  <si>
    <t>16</t>
  </si>
  <si>
    <t>Штучність не додає краси нічому, вона - лише видимість, щось навмисно дочеплене, облудливий блиск.</t>
  </si>
  <si>
    <t>Найкращий захист - не давати приводу для нападу.</t>
  </si>
  <si>
    <t>Тільки пізнавши небезпеку, людина починає цінувати захищеність і мир.</t>
  </si>
  <si>
    <t>Ніколи не давай іншому стільки сили, щоб він зміг перемогти тебе в бою. Адже ніхто не знає, із яким суперником доведеться зустрітися в майбутньому.</t>
  </si>
  <si>
    <t>17</t>
  </si>
  <si>
    <t>Так важко чимось володіти. Насилу знайдеш, потім ледве втримаєш.</t>
  </si>
  <si>
    <t>Шрами мають владу над людьми, вони нагадують нам, що минуле є реальним.</t>
  </si>
  <si>
    <t>Страх зазвичай супроводжує уяву. Це ніби плата за уяву.</t>
  </si>
  <si>
    <t>Задоволення триває довше, коли їм не ділитися.</t>
  </si>
  <si>
    <t>Розв'язання задачі схоже на полювання - воно приносить дикунське задоволення. Ми народжені для цього.</t>
  </si>
  <si>
    <t>18</t>
  </si>
  <si>
    <t>Ніщо не може зробити нас більш вразливими, ніж самотність. Хіба що жадоба. Жадоба не бере початок із вигаданих речей. Жадоба - досить буквальний гріх. Ми починаємо жадати відчувані речі. Починаємо з того, що бачимо щодня.</t>
  </si>
  <si>
    <t>Минуле вже не існує, а майбутнє ще не існує.</t>
  </si>
  <si>
    <t>19</t>
  </si>
  <si>
    <t>Я пам'ятаю значно більше книжок, яких не читав, аніж тих, що прочитав. Я не вважаю це аномалією. Це - як із будь-чим нездійсненним.</t>
  </si>
  <si>
    <t>Минуле наростає, наче снігова куля.</t>
  </si>
  <si>
    <t>Ті, що цим страждають, не просто забувають те, що булоо, а стають геть не спроможними будувати плани бодай на найближче майбутнє. (про хворобу Альцгеймера)</t>
  </si>
  <si>
    <t>Чи має минуле термін зберігання? Якщо ми не живемо в чиїйсь пам'яті, то чи живемо взагалі? Чи може людина збирати себе по частинах зі спогадів інших людей? Що відбувається, коли пам'ять починає відходити?</t>
  </si>
  <si>
    <t>Трагедія не в тому, що людина вмирає, трагедія, коли людина вмирає дарма.</t>
  </si>
  <si>
    <t>20</t>
  </si>
  <si>
    <t>Людина може бути сильною рівно настільки, наскільки хоче цього.</t>
  </si>
  <si>
    <t>Що може знищити будь-яку людиу - це хробак сумнівів, бажання погодитися з обвинувачами, щоб домогтися їхнього схвалення.</t>
  </si>
  <si>
    <t>21</t>
  </si>
  <si>
    <t>Гарні манери в різних культурах перегукуються, бо існують заради єдиної мети.</t>
  </si>
  <si>
    <t>Жінки відчувають погляди швидше, ніж чоловіки. Це частина їхньої зданості до виживання. Вони також моментально відчувають пристрасть і її відсутність.</t>
  </si>
  <si>
    <t>24</t>
  </si>
  <si>
    <t>Правильно слова викликають труднощі.</t>
  </si>
  <si>
    <t>Вона не хоче, щоб люди знали, наскільки розумною вона є насправді. Це дуже корисний вираз обличчя.</t>
  </si>
  <si>
    <t>Ми обоє упіймані й замкнені в пастці життя, визначеного за нас наперед кимось іншим - як довгий-довгий тунель без жодного виходу!</t>
  </si>
  <si>
    <t>Головний супротивник справжнього героя не той, із ким він бореться. Найважливіше подолати себе.</t>
  </si>
  <si>
    <t>26</t>
  </si>
  <si>
    <t>Ніщо так не лякає людину, як невідомість.</t>
  </si>
  <si>
    <t>Найстрашніше, коли не знаєш, кого або чого боїшся.</t>
  </si>
  <si>
    <t>Не буває людини аж такої хорошої, щоб у ній не було зовсім ніякого зла, як і аж такої поганої, щоб у ній не було зовсім ніякого добра.</t>
  </si>
  <si>
    <t>30</t>
  </si>
  <si>
    <t>Зустрічаєш деяких людей й одразу відчуваєш, наче знав їх усе життя. Інших просто минаєш, без сліду чи враження.</t>
  </si>
  <si>
    <t>Глобальне потепління виявляється чимось більшим за наукові дебати, коли ти опиняєшся поруч із його результатами.</t>
  </si>
  <si>
    <t>Горе є руйнівним навіть для тих, кого підтримують сім'я і друзі.</t>
  </si>
  <si>
    <t>Немає кінця словам, які ви можете сказати, як немає кінця теплу, яке можа виробити.</t>
  </si>
  <si>
    <t>33</t>
  </si>
  <si>
    <t>Життя на Землі - немов точно відкалібрований механізм, який еволюція вибудувала так, щоб він ефективно працював у діапазоні своїх технологічних параметрів.</t>
  </si>
  <si>
    <t>Ми всі потрапили в шторм, але ми не в одному човні. Дехто опинився на авіаносцях, тоді як інші - на надувних човнах.</t>
  </si>
  <si>
    <t>40</t>
  </si>
  <si>
    <t>Залежність - це хвороба. І вилікувати її неможливо. Її треба контролювати.</t>
  </si>
  <si>
    <t>За допомогою слів складають історії, виплітаючи брехню, й лише зрідка їх складають докупи, щоб висловити правду.</t>
  </si>
  <si>
    <t>У цьому й суть новин - завжди з'являється щось нове.</t>
  </si>
  <si>
    <t>Поводитися з в'їдливими викладачами і набагато старшими хлопцями можна, як із гувернентками: чемненько казати їм ту правду, яку вони хочуть почути, щоб вони вирішували, ніби перемогли, й дали тобі спокій.</t>
  </si>
  <si>
    <t>month</t>
  </si>
  <si>
    <t>January</t>
  </si>
  <si>
    <t>March</t>
  </si>
  <si>
    <t>February</t>
  </si>
  <si>
    <t>April</t>
  </si>
  <si>
    <t>May</t>
  </si>
  <si>
    <t>June</t>
  </si>
  <si>
    <t>July</t>
  </si>
  <si>
    <t>August</t>
  </si>
  <si>
    <t>September</t>
  </si>
  <si>
    <t>October</t>
  </si>
  <si>
    <t>November</t>
  </si>
  <si>
    <t>December</t>
  </si>
  <si>
    <t>Динозаври. Новий погляд</t>
  </si>
  <si>
    <t>month_read</t>
  </si>
  <si>
    <t>book_count</t>
  </si>
  <si>
    <t>result</t>
  </si>
  <si>
    <t>left_to_read</t>
  </si>
  <si>
    <t>actual_start_2025</t>
  </si>
  <si>
    <t>days_read</t>
  </si>
  <si>
    <t>pages_read</t>
  </si>
  <si>
    <t>Total</t>
  </si>
  <si>
    <t>title_pages_for_month</t>
  </si>
  <si>
    <t>max_pages_for_month</t>
  </si>
  <si>
    <t>min_pages_for_month</t>
  </si>
  <si>
    <t>avr_pages_for_month</t>
  </si>
  <si>
    <t>title_books_count_for_month</t>
  </si>
  <si>
    <t>max_books_count_for_month</t>
  </si>
  <si>
    <t>min_books_count_for_month</t>
  </si>
  <si>
    <t>avr_books_count_for_month</t>
  </si>
  <si>
    <t>title_days_read_for_month</t>
  </si>
  <si>
    <t>max_days_read_for_month</t>
  </si>
  <si>
    <t>min_days_read_for_month</t>
  </si>
  <si>
    <t>avr_days_read_for_month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</si>
</sst>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sz val="8"/>
      <name val="Calibri"/>
      <family val="2"/>
      <charset val="204"/>
      <scheme val="minor"/>
    </font>
    <font>
      <b/>
      <sz val="11"/>
      <color theme="1"/>
      <name val="Calibri"/>
      <family val="2"/>
      <charset val="204"/>
      <scheme val="minor"/>
    </font>
  </fonts>
  <fills count="2">
    <fill>
      <patternFill patternType="none"/>
    </fill>
    <fill>
      <patternFill patternType="gray125"/>
    </fill>
  </fills>
  <borders count="5">
    <border>
      <left/>
      <right/>
      <top/>
      <bottom/>
      <diagonal/>
    </border>
    <border>
      <left/>
      <right/>
      <top style="thin">
        <color rgb="FF999999"/>
      </top>
      <bottom/>
      <diagonal/>
    </border>
    <border>
      <left style="thin">
        <color rgb="FF999999"/>
      </left>
      <right style="thin">
        <color rgb="FF999999"/>
      </right>
      <top/>
      <bottom/>
      <diagonal/>
    </border>
    <border>
      <left style="thin">
        <color indexed="64"/>
      </left>
      <right style="thin">
        <color indexed="64"/>
      </right>
      <top style="thin">
        <color indexed="64"/>
      </top>
      <bottom style="thin">
        <color indexed="64"/>
      </bottom>
      <diagonal/>
    </border>
    <border>
      <left/>
      <right style="thin">
        <color rgb="FF999999"/>
      </right>
      <top/>
      <bottom/>
      <diagonal/>
    </border>
  </borders>
  <cellStyleXfs count="1">
    <xf numFmtId="0" fontId="0" fillId="0" borderId="0"/>
  </cellStyleXfs>
  <cellXfs count="28">
    <xf numFmtId="0" fontId="0" fillId="0" borderId="0" xfId="0"/>
    <xf numFmtId="0" fontId="0" fillId="0" borderId="0" xfId="0" applyAlignment="1">
      <alignment horizontal="center" vertical="center"/>
    </xf>
    <xf numFmtId="49" fontId="0" fillId="0" borderId="0" xfId="0" applyNumberFormat="1" applyAlignment="1">
      <alignment horizontal="center" vertical="center"/>
    </xf>
    <xf numFmtId="1" fontId="0" fillId="0" borderId="0" xfId="0" applyNumberFormat="1" applyAlignment="1">
      <alignment horizontal="center" vertical="center"/>
    </xf>
    <xf numFmtId="0" fontId="0" fillId="0" borderId="1" xfId="0" applyBorder="1" applyAlignment="1">
      <alignment horizontal="left"/>
    </xf>
    <xf numFmtId="0" fontId="0" fillId="0" borderId="0" xfId="0" applyAlignment="1">
      <alignment horizontal="left"/>
    </xf>
    <xf numFmtId="0" fontId="0" fillId="0" borderId="2" xfId="0" applyBorder="1" applyAlignment="1">
      <alignment horizontal="left"/>
    </xf>
    <xf numFmtId="1" fontId="0" fillId="0" borderId="0" xfId="0" applyNumberFormat="1" applyAlignment="1">
      <alignment horizontal="right" vertical="center"/>
    </xf>
    <xf numFmtId="1" fontId="0" fillId="0" borderId="0" xfId="0" applyNumberFormat="1" applyAlignment="1">
      <alignment wrapText="1"/>
    </xf>
    <xf numFmtId="1" fontId="0" fillId="0" borderId="0" xfId="0" applyNumberFormat="1" applyAlignment="1">
      <alignment vertical="center"/>
    </xf>
    <xf numFmtId="49" fontId="0" fillId="0" borderId="0" xfId="0" applyNumberFormat="1" applyAlignment="1">
      <alignment wrapText="1"/>
    </xf>
    <xf numFmtId="49" fontId="0" fillId="0" borderId="0" xfId="0" applyNumberFormat="1" applyAlignment="1">
      <alignment vertical="center" wrapText="1"/>
    </xf>
    <xf numFmtId="49" fontId="0" fillId="0" borderId="0" xfId="0" applyNumberFormat="1" applyAlignment="1">
      <alignment vertical="center"/>
    </xf>
    <xf numFmtId="49" fontId="0" fillId="0" borderId="0" xfId="0" applyNumberFormat="1"/>
    <xf numFmtId="0" fontId="2" fillId="0" borderId="0" xfId="0" applyFont="1"/>
    <xf numFmtId="0" fontId="2" fillId="0" borderId="0" xfId="0" applyFont="1" applyAlignment="1">
      <alignment horizontal="left"/>
    </xf>
    <xf numFmtId="2" fontId="2" fillId="0" borderId="0" xfId="0" applyNumberFormat="1" applyFont="1" applyAlignment="1">
      <alignment horizontal="left"/>
    </xf>
    <xf numFmtId="1" fontId="2" fillId="0" borderId="0" xfId="0" applyNumberFormat="1" applyFont="1"/>
    <xf numFmtId="0" fontId="0" fillId="0" borderId="0" xfId="0" pivotButton="1"/>
    <xf numFmtId="0" fontId="0" fillId="0" borderId="4" xfId="0" applyBorder="1" applyAlignment="1">
      <alignment horizontal="left"/>
    </xf>
    <xf numFmtId="0" fontId="0" fillId="0" borderId="3" xfId="0" applyBorder="1" applyAlignment="1">
      <alignment horizontal="left"/>
    </xf>
    <xf numFmtId="1" fontId="0" fillId="0" borderId="3" xfId="0" applyNumberFormat="1" applyBorder="1" applyAlignment="1">
      <alignment horizontal="left" vertical="center" wrapText="1"/>
    </xf>
    <xf numFmtId="49" fontId="0" fillId="0" borderId="3" xfId="0" applyNumberFormat="1" applyBorder="1" applyAlignment="1">
      <alignment horizontal="left" vertical="center" wrapText="1"/>
    </xf>
    <xf numFmtId="0" fontId="0" fillId="0" borderId="3" xfId="0" applyBorder="1" applyAlignment="1">
      <alignment horizontal="left" vertical="center" wrapText="1"/>
    </xf>
    <xf numFmtId="49" fontId="0" fillId="0" borderId="0" xfId="0" applyNumberFormat="1" applyAlignment="1">
      <alignment horizontal="left" vertical="center" wrapText="1"/>
    </xf>
    <xf numFmtId="0" fontId="0" fillId="0" borderId="0" xfId="0" applyAlignment="1">
      <alignment horizontal="left" vertical="center" wrapText="1"/>
    </xf>
    <xf numFmtId="1" fontId="0" fillId="0" borderId="0" xfId="0" applyNumberFormat="1" applyAlignment="1">
      <alignment horizontal="left" vertical="center" wrapText="1"/>
    </xf>
    <xf numFmtId="1" fontId="0" fillId="0" borderId="0" xfId="0" applyNumberFormat="1" applyAlignment="1">
      <alignment horizontal="right" vertical="center" wrapText="1"/>
    </xf>
  </cellXfs>
  <cellStyles count="1">
    <cellStyle name="Normal" xfId="0" builtinId="0"/>
  </cellStyles>
  <dxfs count="64">
    <dxf>
      <numFmt numFmtId="30" formatCode="@"/>
      <alignment horizontal="left" vertical="center" textRotation="0" wrapText="1" indent="0" justifyLastLine="0" shrinkToFit="0" readingOrder="0"/>
    </dxf>
    <dxf>
      <alignment horizontal="left" vertical="center" textRotation="0" wrapText="1" indent="0" justifyLastLine="0" shrinkToFit="0" readingOrder="0"/>
    </dxf>
    <dxf>
      <numFmt numFmtId="1" formatCode="0"/>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1" formatCode="0"/>
      <alignment horizontal="right" vertical="center" textRotation="0" wrapText="1" indent="0" justifyLastLine="0" shrinkToFit="0" readingOrder="0"/>
    </dxf>
    <dxf>
      <alignment horizontal="left" vertical="center" textRotation="0" wrapText="1" indent="0" justifyLastLine="0" shrinkToFit="0" readingOrder="0"/>
    </dxf>
    <dxf>
      <numFmt numFmtId="1" formatCode="0"/>
      <alignment horizontal="left" vertical="center" textRotation="0" wrapText="1" indent="0" justifyLastLine="0" shrinkToFit="0" readingOrder="0"/>
    </dxf>
    <dxf>
      <numFmt numFmtId="1" formatCode="0"/>
      <alignment horizontal="left" vertical="center" textRotation="0" wrapText="1" indent="0" justifyLastLine="0" shrinkToFit="0" readingOrder="0"/>
    </dxf>
    <dxf>
      <numFmt numFmtId="1" formatCode="0"/>
      <alignment horizontal="left" vertical="center" textRotation="0" wrapText="1" indent="0" justifyLastLine="0" shrinkToFit="0" readingOrder="0"/>
    </dxf>
    <dxf>
      <numFmt numFmtId="1" formatCode="0"/>
      <alignment horizontal="left" vertical="center" textRotation="0" wrapText="1" indent="0" justifyLastLine="0" shrinkToFit="0" readingOrder="0"/>
    </dxf>
    <dxf>
      <alignment horizontal="left" vertical="center" textRotation="0" wrapText="1" indent="0" justifyLastLine="0" shrinkToFit="0" readingOrder="0"/>
    </dxf>
    <dxf>
      <numFmt numFmtId="30" formatCode="@"/>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30" formatCode="@"/>
      <alignment horizontal="left" vertical="center" textRotation="0" wrapText="1" indent="0" justifyLastLine="0" shrinkToFit="0" readingOrder="0"/>
    </dxf>
    <dxf>
      <fill>
        <patternFill>
          <bgColor rgb="FFF46666"/>
        </patternFill>
      </fill>
    </dxf>
    <dxf>
      <font>
        <b/>
        <i val="0"/>
      </font>
    </dxf>
    <dxf>
      <font>
        <b val="0"/>
        <i/>
      </font>
    </dxf>
    <dxf>
      <fill>
        <patternFill>
          <bgColor theme="9"/>
        </patternFill>
      </fill>
    </dxf>
    <dxf>
      <numFmt numFmtId="0" formatCode="General"/>
      <alignment horizontal="left" vertical="bottom" textRotation="0" wrapText="0" indent="0" justifyLastLine="0" shrinkToFit="0" readingOrder="0"/>
      <border diagonalUp="0" diagonalDown="0">
        <left style="thin">
          <color rgb="FF999999"/>
        </left>
        <right style="thin">
          <color rgb="FF999999"/>
        </right>
        <top style="thin">
          <color indexed="65"/>
        </top>
        <bottom/>
      </border>
    </dxf>
    <dxf>
      <alignment horizontal="left" vertical="bottom" textRotation="0" wrapText="0" indent="0" justifyLastLine="0" shrinkToFit="0" readingOrder="0"/>
      <border diagonalUp="0" diagonalDown="0" outline="0">
        <left style="thin">
          <color rgb="FF999999"/>
        </left>
        <right style="thin">
          <color rgb="FF999999"/>
        </right>
        <top/>
        <bottom/>
      </border>
    </dxf>
    <dxf>
      <alignment horizontal="left" vertical="bottom" textRotation="0" wrapText="0" indent="0" justifyLastLine="0" shrinkToFit="0" readingOrder="0"/>
      <border diagonalUp="0" diagonalDown="0">
        <left style="thin">
          <color rgb="FF999999"/>
        </left>
        <right style="thin">
          <color rgb="FF999999"/>
        </right>
        <top/>
        <bottom/>
        <vertical/>
        <horizontal/>
      </border>
    </dxf>
    <dxf>
      <alignment horizontal="left" vertical="bottom" textRotation="0" wrapText="0" indent="0" justifyLastLine="0" shrinkToFit="0" readingOrder="0"/>
      <border diagonalUp="0" diagonalDown="0" outline="0">
        <left style="thin">
          <color rgb="FF999999"/>
        </left>
        <right style="thin">
          <color rgb="FF999999"/>
        </right>
        <top/>
        <bottom/>
      </border>
    </dxf>
    <dxf>
      <numFmt numFmtId="0" formatCode="General"/>
      <alignment horizontal="left" vertical="bottom" textRotation="0" wrapText="0" indent="0" justifyLastLine="0" shrinkToFit="0" readingOrder="0"/>
      <border diagonalUp="0" diagonalDown="0">
        <left style="thin">
          <color rgb="FF999999"/>
        </left>
        <right style="thin">
          <color rgb="FF999999"/>
        </right>
        <top/>
        <bottom/>
        <vertical/>
        <horizontal/>
      </border>
    </dxf>
    <dxf>
      <alignment horizontal="left" vertical="bottom" textRotation="0" wrapText="0" indent="0" justifyLastLine="0" shrinkToFit="0" readingOrder="0"/>
      <border diagonalUp="0" diagonalDown="0" outline="0">
        <left style="thin">
          <color rgb="FF999999"/>
        </left>
        <right style="thin">
          <color rgb="FF999999"/>
        </right>
        <top/>
        <bottom/>
      </border>
    </dxf>
    <dxf>
      <alignment horizontal="left" vertical="bottom" textRotation="0" wrapText="0" indent="0" justifyLastLine="0" shrinkToFit="0" readingOrder="0"/>
      <border diagonalUp="0" diagonalDown="0">
        <left style="thin">
          <color rgb="FF999999"/>
        </left>
        <right style="thin">
          <color rgb="FF999999"/>
        </right>
        <top/>
        <bottom/>
        <vertical/>
        <horizontal/>
      </border>
    </dxf>
    <dxf>
      <alignment horizontal="left" vertical="bottom" textRotation="0" wrapText="0" indent="0" justifyLastLine="0" shrinkToFit="0" readingOrder="0"/>
      <border diagonalUp="0" diagonalDown="0" outline="0">
        <left style="thin">
          <color rgb="FF999999"/>
        </left>
        <right style="thin">
          <color rgb="FF999999"/>
        </right>
        <top/>
        <bottom/>
      </border>
    </dxf>
    <dxf>
      <alignment horizontal="left" vertical="bottom" textRotation="0" wrapText="0" indent="0" justifyLastLine="0" shrinkToFit="0" readingOrder="0"/>
      <border diagonalUp="0" diagonalDown="0" outline="0">
        <left style="thin">
          <color rgb="FF999999"/>
        </left>
        <right style="thin">
          <color rgb="FF999999"/>
        </right>
        <top style="thin">
          <color indexed="65"/>
        </top>
        <bottom/>
      </border>
    </dxf>
    <dxf>
      <alignment horizontal="left" vertical="bottom" textRotation="0" wrapText="0" indent="0" justifyLastLine="0" shrinkToFit="0" readingOrder="0"/>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rgb="FF999999"/>
        </left>
      </border>
    </dxf>
    <dxf>
      <font>
        <b/>
      </font>
    </dxf>
    <dxf>
      <font>
        <b/>
      </font>
      <numFmt numFmtId="0" formatCode="General"/>
      <alignment horizontal="left" vertical="bottom" textRotation="0" wrapText="0" indent="0" justifyLastLine="0" shrinkToFit="0" readingOrder="0"/>
    </dxf>
    <dxf>
      <font>
        <b/>
      </font>
      <numFmt numFmtId="0" formatCode="General"/>
      <alignment horizontal="left" vertical="bottom" textRotation="0" wrapText="0" indent="0" justifyLastLine="0" shrinkToFit="0" readingOrder="0"/>
    </dxf>
    <dxf>
      <font>
        <b/>
      </font>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30" formatCode="@"/>
      <alignment horizontal="general" vertical="center" textRotation="0" wrapText="1" indent="0" justifyLastLine="0" shrinkToFit="0" readingOrder="0"/>
    </dxf>
    <dxf>
      <numFmt numFmtId="1" formatCode="0"/>
      <alignment horizontal="general" vertical="center" textRotation="0" wrapText="0" indent="0" justifyLastLine="0" shrinkToFit="0" readingOrder="0"/>
    </dxf>
    <dxf>
      <numFmt numFmtId="30" formatCode="@"/>
      <alignment horizontal="general" vertical="center" textRotation="0" wrapText="1" indent="0" justifyLastLine="0" shrinkToFit="0" readingOrder="0"/>
    </dxf>
    <dxf>
      <numFmt numFmtId="30" formatCode="@"/>
      <alignment horizontal="general" vertical="center" textRotation="0" indent="0" justifyLastLine="0" shrinkToFit="0" readingOrder="0"/>
    </dxf>
    <dxf>
      <alignment horizontal="general" vertical="center" textRotation="0" indent="0" justifyLastLine="0" shrinkToFit="0" readingOrder="0"/>
    </dxf>
    <dxf>
      <numFmt numFmtId="30" formatCode="@"/>
      <alignment horizontal="left" vertical="center" textRotation="0" wrapText="1" indent="0" justifyLastLine="0" shrinkToFit="0" readingOrder="0"/>
    </dxf>
    <dxf>
      <alignment horizontal="left" vertical="center" textRotation="0" wrapText="1" indent="0" justifyLastLine="0" shrinkToFit="0" readingOrder="0"/>
    </dxf>
    <dxf>
      <numFmt numFmtId="1" formatCode="0"/>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1" formatCode="0"/>
      <alignment horizontal="right" vertical="center" textRotation="0" wrapText="1" indent="0" justifyLastLine="0" shrinkToFit="0" readingOrder="0"/>
    </dxf>
    <dxf>
      <alignment horizontal="left" vertical="center" textRotation="0" wrapText="1" indent="0" justifyLastLine="0" shrinkToFit="0" readingOrder="0"/>
    </dxf>
    <dxf>
      <numFmt numFmtId="1" formatCode="0"/>
      <alignment horizontal="left" vertical="center" textRotation="0" wrapText="1" indent="0" justifyLastLine="0" shrinkToFit="0" readingOrder="0"/>
    </dxf>
    <dxf>
      <numFmt numFmtId="1" formatCode="0"/>
      <alignment horizontal="left" vertical="center" textRotation="0" wrapText="1" indent="0" justifyLastLine="0" shrinkToFit="0" readingOrder="0"/>
    </dxf>
    <dxf>
      <numFmt numFmtId="1" formatCode="0"/>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30" formatCode="@"/>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30" formatCode="@"/>
      <alignment horizontal="left" vertical="center" textRotation="0" wrapText="1" indent="0" justifyLastLine="0" shrinkToFit="0" readingOrder="0"/>
    </dxf>
    <dxf>
      <numFmt numFmtId="30" formatCode="@"/>
      <alignment horizontal="left" vertical="center" textRotation="0" wrapText="1" indent="0" justifyLastLine="0" shrinkToFit="0" readingOrder="0"/>
    </dxf>
    <dxf>
      <alignment horizontal="left" vertical="center" textRotation="0" wrapText="1" indent="0" justifyLastLine="0" shrinkToFit="0" readingOrder="0"/>
    </dxf>
    <dxf>
      <numFmt numFmtId="1" formatCode="0"/>
      <alignment horizontal="left" vertical="center" textRotation="0" wrapText="1" indent="0" justifyLastLine="0" shrinkToFit="0" readingOrder="0"/>
    </dxf>
  </dxfs>
  <tableStyles count="0" defaultTableStyle="TableStyleMedium2" defaultPivotStyle="PivotStyleLight16"/>
  <colors>
    <mruColors>
      <color rgb="FFF46666"/>
      <color rgb="FFE67168"/>
      <color rgb="FFFB7171"/>
      <color rgb="FFF78989"/>
      <color rgb="FFD97D7D"/>
      <color rgb="FFF67A7A"/>
      <color rgb="FFE37373"/>
      <color rgb="FF5482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ia Matviyishyn" refreshedDate="46049.758400694445" createdVersion="8" refreshedVersion="8" minRefreshableVersion="3" recordCount="591" xr:uid="{90FA6197-E3E1-4230-A745-1C122E1C3FE1}">
  <cacheSource type="worksheet">
    <worksheetSource name="main_table"/>
  </cacheSource>
  <cacheFields count="17">
    <cacheField name="book_id" numFmtId="1">
      <sharedItems containsSemiMixedTypes="0" containsString="0" containsNumber="1" containsInteger="1" minValue="1" maxValue="591"/>
    </cacheField>
    <cacheField name="read_order" numFmtId="1">
      <sharedItems containsString="0" containsBlank="1" containsNumber="1" containsInteger="1" minValue="1" maxValue="205"/>
    </cacheField>
    <cacheField name="book_title" numFmtId="0">
      <sharedItems containsBlank="1"/>
    </cacheField>
    <cacheField name="author_first_name" numFmtId="0">
      <sharedItems containsBlank="1"/>
    </cacheField>
    <cacheField name="author_last_name" numFmtId="0">
      <sharedItems containsBlank="1"/>
    </cacheField>
    <cacheField name="book_genre" numFmtId="0">
      <sharedItems containsBlank="1"/>
    </cacheField>
    <cacheField name="format" numFmtId="0">
      <sharedItems containsBlank="1"/>
    </cacheField>
    <cacheField name="language" numFmtId="0">
      <sharedItems containsBlank="1"/>
    </cacheField>
    <cacheField name="pages" numFmtId="0">
      <sharedItems containsString="0" containsBlank="1" containsNumber="1" containsInteger="1" minValue="90" maxValue="2184"/>
    </cacheField>
    <cacheField name="year_read" numFmtId="1">
      <sharedItems containsString="0" containsBlank="1" containsNumber="1" containsInteger="1" minValue="2025" maxValue="2025"/>
    </cacheField>
    <cacheField name="rating" numFmtId="1">
      <sharedItems containsString="0" containsBlank="1" containsNumber="1" containsInteger="1" minValue="3" maxValue="5"/>
    </cacheField>
    <cacheField name="owned" numFmtId="0">
      <sharedItems containsBlank="1"/>
    </cacheField>
    <cacheField name="series_number" numFmtId="0">
      <sharedItems containsString="0" containsBlank="1" containsNumber="1" containsInteger="1" minValue="1" maxValue="7"/>
    </cacheField>
    <cacheField name="series_name" numFmtId="49">
      <sharedItems containsBlank="1" count="18">
        <m/>
        <s v="Справи Дрездена"/>
        <s v="Міккі 7"/>
        <s v="Варта у грі"/>
        <s v="Ганнібал Лектер"/>
        <s v="Гаррі Поттер (фанфік)"/>
        <s v="Гадес і Персефона"/>
        <s v="Трилогія про Кейна та Аделіну"/>
        <s v="Трилогія про Кроу та Перл"/>
        <s v="капітан Віндгем та сержант Бенерджі"/>
        <s v="Слідство П'єтро Джербера"/>
        <s v="Емпіреї"/>
        <s v="Девід Хантер"/>
        <s v="Персі Джексон і боги-олімпійці"/>
        <s v="Попіл лине до неба"/>
        <s v="Агенція &quot;Локвуд і Ко&quot;"/>
        <s v="Плоть і вогонь"/>
        <s v="Хроніки Нарнії"/>
      </sharedItems>
    </cacheField>
    <cacheField name="year_published" numFmtId="0">
      <sharedItems containsString="0" containsBlank="1" containsNumber="1" containsInteger="1" minValue="1819" maxValue="2025"/>
    </cacheField>
    <cacheField name="has_quotes" numFmtId="0">
      <sharedItems containsBlank="1"/>
    </cacheField>
    <cacheField name="top_book"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1">
  <r>
    <n v="1"/>
    <n v="74"/>
    <s v="Around the world in eighty days"/>
    <s v="Jules"/>
    <s v="Verne"/>
    <s v="роман"/>
    <s v="Print"/>
    <s v="English"/>
    <n v="320"/>
    <n v="2025"/>
    <n v="5"/>
    <s v="yes"/>
    <m/>
    <x v="0"/>
    <n v="1872"/>
    <s v="no"/>
    <m/>
  </r>
  <r>
    <n v="2"/>
    <n v="4"/>
    <s v="The secret garden"/>
    <s v="Frances Hodgson"/>
    <s v="Burnett"/>
    <s v="дитяча новела"/>
    <s v="Print"/>
    <s v="English"/>
    <n v="288"/>
    <n v="2025"/>
    <n v="4"/>
    <s v="yes"/>
    <m/>
    <x v="0"/>
    <n v="1910"/>
    <s v="yes"/>
    <m/>
  </r>
  <r>
    <n v="3"/>
    <n v="78"/>
    <s v="Айвенго"/>
    <s v="Вальтер"/>
    <s v="Скотт"/>
    <s v="пригодницьки й роман"/>
    <s v="Audio"/>
    <s v="Ukrainian"/>
    <n v="480"/>
    <n v="2025"/>
    <n v="5"/>
    <s v="no"/>
    <m/>
    <x v="0"/>
    <n v="1819"/>
    <s v="no"/>
    <m/>
  </r>
  <r>
    <n v="4"/>
    <n v="70"/>
    <s v="Аріадна"/>
    <s v="Дженніфер"/>
    <s v="Сейнт"/>
    <s v="міфологічне фентезі"/>
    <s v="Ebook"/>
    <s v="Ukrainian"/>
    <n v="392"/>
    <n v="2025"/>
    <n v="5"/>
    <s v="yes"/>
    <m/>
    <x v="0"/>
    <n v="2021"/>
    <s v="no"/>
    <s v="+"/>
  </r>
  <r>
    <n v="5"/>
    <n v="85"/>
    <s v="Аталанта"/>
    <s v="Дженніфер"/>
    <s v="Сейнт"/>
    <s v="міфологічне фентезі"/>
    <s v="Ebook"/>
    <s v="Ukrainian"/>
    <n v="368"/>
    <n v="2025"/>
    <n v="5"/>
    <s v="yes"/>
    <m/>
    <x v="0"/>
    <n v="2025"/>
    <s v="no"/>
    <s v="+"/>
  </r>
  <r>
    <n v="6"/>
    <n v="16"/>
    <s v="Бальзам для душі"/>
    <s v="Норберт"/>
    <s v="Лехляйтнер"/>
    <s v="релігія, християнство"/>
    <s v="Print"/>
    <s v="Ukrainian"/>
    <n v="188"/>
    <n v="2025"/>
    <n v="4"/>
    <s v="no"/>
    <m/>
    <x v="0"/>
    <n v="2022"/>
    <s v="yes"/>
    <m/>
  </r>
  <r>
    <n v="7"/>
    <n v="31"/>
    <s v="Безрозсудний місяць"/>
    <s v="Джим"/>
    <s v="Бутчер"/>
    <s v="міське детективне фентезі"/>
    <s v="Audio"/>
    <s v="Ukrainian"/>
    <n v="352"/>
    <n v="2025"/>
    <n v="4"/>
    <s v="no"/>
    <n v="2"/>
    <x v="1"/>
    <n v="2001"/>
    <s v="no"/>
    <m/>
  </r>
  <r>
    <n v="8"/>
    <n v="109"/>
    <s v="Біла пошесть"/>
    <s v="Карел"/>
    <s v="Чапек"/>
    <s v="антивоєнна драма/п'єса"/>
    <s v="Audio"/>
    <s v="Ukrainian"/>
    <n v="90"/>
    <n v="2025"/>
    <n v="5"/>
    <s v="no"/>
    <m/>
    <x v="0"/>
    <n v="1937"/>
    <s v="no"/>
    <m/>
  </r>
  <r>
    <n v="9"/>
    <n v="52"/>
    <s v="Блюз антиматерії"/>
    <s v="Едвард"/>
    <s v="Ештон"/>
    <s v="науково-фантастичний роман"/>
    <s v="Audio"/>
    <s v="Ukrainian"/>
    <n v="312"/>
    <n v="2025"/>
    <n v="5"/>
    <s v="no"/>
    <n v="2"/>
    <x v="2"/>
    <n v="2024"/>
    <s v="no"/>
    <s v="+"/>
  </r>
  <r>
    <n v="10"/>
    <n v="106"/>
    <s v="Варта у грі"/>
    <s v="Наталія"/>
    <s v="Матолінець"/>
    <s v="міське фентезі"/>
    <s v="Ebook"/>
    <s v="Ukrainian"/>
    <n v="288"/>
    <n v="2025"/>
    <n v="5"/>
    <s v="yes"/>
    <n v="1"/>
    <x v="3"/>
    <n v="2018"/>
    <s v="no"/>
    <m/>
  </r>
  <r>
    <n v="11"/>
    <n v="101"/>
    <s v="Велика ілюзія"/>
    <s v="Міка"/>
    <s v="Валтарі"/>
    <s v="роман"/>
    <s v="Audio"/>
    <s v="Ukrainian"/>
    <n v="160"/>
    <n v="2025"/>
    <n v="5"/>
    <s v="no"/>
    <m/>
    <x v="0"/>
    <n v="1928"/>
    <s v="no"/>
    <m/>
  </r>
  <r>
    <n v="12"/>
    <n v="59"/>
    <s v="Витязь і вірлиця"/>
    <s v="Наталія"/>
    <s v="Довгопол"/>
    <s v="чаклунське романтичне фентезі"/>
    <s v="Print"/>
    <s v="Ukrainian"/>
    <n v="324"/>
    <n v="2025"/>
    <n v="5"/>
    <s v="yes"/>
    <m/>
    <x v="0"/>
    <n v="2023"/>
    <s v="no"/>
    <s v="+"/>
  </r>
  <r>
    <n v="13"/>
    <n v="100"/>
    <s v="Відверто про Клавдію"/>
    <s v="Деніел"/>
    <s v="Кіз"/>
    <s v="психологія"/>
    <s v="Audio"/>
    <s v="Ukrainian"/>
    <n v="320"/>
    <n v="2025"/>
    <n v="5"/>
    <s v="no"/>
    <m/>
    <x v="0"/>
    <n v="1986"/>
    <s v="no"/>
    <m/>
  </r>
  <r>
    <n v="14"/>
    <n v="35"/>
    <s v="Війна з саламандрами"/>
    <s v="Карел"/>
    <s v="Чапек"/>
    <s v="фантастика; антиутопія"/>
    <s v="Audio"/>
    <s v="Ukrainian"/>
    <n v="256"/>
    <n v="2025"/>
    <n v="5"/>
    <s v="no"/>
    <m/>
    <x v="0"/>
    <n v="1936"/>
    <s v="no"/>
    <s v="+"/>
  </r>
  <r>
    <n v="15"/>
    <n v="20"/>
    <s v="Ганнібал"/>
    <s v="Томас"/>
    <s v="Гарріс"/>
    <s v="жахи, трилер"/>
    <s v="Audio"/>
    <s v="Ukrainian"/>
    <n v="512"/>
    <n v="2025"/>
    <n v="5"/>
    <s v="no"/>
    <n v="3"/>
    <x v="4"/>
    <n v="1999"/>
    <s v="yes"/>
    <s v="+"/>
  </r>
  <r>
    <n v="16"/>
    <n v="37"/>
    <s v="Гаррі Поттер і методи раціональності"/>
    <s v="Еліезер"/>
    <s v="Юдковський"/>
    <s v="фентезі; фанфік"/>
    <s v="Audio"/>
    <s v="Ukrainian"/>
    <n v="2184"/>
    <n v="2025"/>
    <n v="5"/>
    <s v="no"/>
    <n v="1"/>
    <x v="5"/>
    <n v="2010"/>
    <s v="no"/>
    <m/>
  </r>
  <r>
    <n v="17"/>
    <n v="38"/>
    <s v="Гаррі Поттер та ігри професора"/>
    <s v="Еліезер"/>
    <s v="Юдковський"/>
    <s v="фентезі; фанфік"/>
    <s v="Audio"/>
    <s v="Ukrainian"/>
    <m/>
    <n v="2025"/>
    <n v="5"/>
    <s v="no"/>
    <n v="2"/>
    <x v="5"/>
    <m/>
    <s v="no"/>
    <m/>
  </r>
  <r>
    <n v="18"/>
    <n v="79"/>
    <s v="Гера"/>
    <s v="Дженніфер"/>
    <s v="Сейнт"/>
    <s v="міфологічне фентезі"/>
    <s v="Ebook"/>
    <s v="Ukrainian"/>
    <n v="400"/>
    <n v="2025"/>
    <n v="5"/>
    <s v="yes"/>
    <m/>
    <x v="0"/>
    <n v="2025"/>
    <s v="no"/>
    <m/>
  </r>
  <r>
    <n v="19"/>
    <n v="46"/>
    <s v="Гра відплати"/>
    <s v="Скарлетт"/>
    <s v="Сент-Клер"/>
    <s v="міфологічне фентезі"/>
    <s v="Print"/>
    <s v="Ukrainian"/>
    <n v="432"/>
    <n v="2025"/>
    <n v="5"/>
    <s v="yes"/>
    <n v="4"/>
    <x v="6"/>
    <n v="2022"/>
    <s v="no"/>
    <s v="+"/>
  </r>
  <r>
    <n v="20"/>
    <n v="42"/>
    <s v="Гра долі"/>
    <s v="Скарлетт"/>
    <s v="Сент-Клер"/>
    <s v="міфологічне фентезі"/>
    <s v="Print"/>
    <s v="Ukrainian"/>
    <n v="400"/>
    <n v="2025"/>
    <n v="5"/>
    <s v="yes"/>
    <n v="2"/>
    <x v="6"/>
    <n v="2020"/>
    <s v="no"/>
    <s v="+"/>
  </r>
  <r>
    <n v="21"/>
    <n v="56"/>
    <s v="Гра Ендера"/>
    <s v="Орсон Скотт"/>
    <s v="Кард"/>
    <s v="науково-фантастичний роман"/>
    <s v="Audio"/>
    <s v="Ukrainian"/>
    <n v="272"/>
    <n v="2025"/>
    <n v="5"/>
    <s v="no"/>
    <m/>
    <x v="0"/>
    <n v="1985"/>
    <s v="no"/>
    <s v="+"/>
  </r>
  <r>
    <n v="22"/>
    <n v="68"/>
    <s v="Гудзики та грація"/>
    <s v="Пенелопа"/>
    <s v="Скай"/>
    <s v="еротично-кримінальний роман"/>
    <s v="Ebook"/>
    <s v="Ukrainian"/>
    <n v="304"/>
    <n v="2025"/>
    <n v="3"/>
    <s v="no"/>
    <n v="6"/>
    <x v="7"/>
    <n v="2018"/>
    <m/>
    <m/>
  </r>
  <r>
    <n v="23"/>
    <n v="51"/>
    <s v="Гудзики та мереживо"/>
    <s v="Пенелопа"/>
    <s v="Скай"/>
    <s v="еротично-кримінальний роман"/>
    <s v="Ebook"/>
    <s v="Ukrainian"/>
    <n v="288"/>
    <n v="2025"/>
    <n v="3"/>
    <s v="no"/>
    <n v="1"/>
    <x v="8"/>
    <n v="2016"/>
    <s v="no"/>
    <m/>
  </r>
  <r>
    <n v="24"/>
    <n v="53"/>
    <s v="Гудзики та ненависть"/>
    <s v="Пенелопа"/>
    <s v="Скай"/>
    <s v="еротично-кримінальний роман"/>
    <s v="Ebook"/>
    <s v="Ukrainian"/>
    <n v="272"/>
    <n v="2025"/>
    <n v="3"/>
    <s v="no"/>
    <n v="2"/>
    <x v="8"/>
    <n v="2017"/>
    <s v="no"/>
    <m/>
  </r>
  <r>
    <n v="25"/>
    <n v="67"/>
    <s v="Гудзики та провина"/>
    <s v="Пенелопа"/>
    <s v="Скай"/>
    <s v="еротично-кримінальний роман"/>
    <s v="Ebook"/>
    <s v="Ukrainian"/>
    <n v="288"/>
    <n v="2025"/>
    <n v="3"/>
    <s v="no"/>
    <n v="5"/>
    <x v="7"/>
    <n v="2017"/>
    <s v="no"/>
    <m/>
  </r>
  <r>
    <n v="26"/>
    <n v="66"/>
    <s v="Гудзики та сором"/>
    <s v="Пенелопа"/>
    <s v="Скай"/>
    <s v="еротично-кримінальний роман"/>
    <s v="Ebook"/>
    <s v="Ukrainian"/>
    <n v="304"/>
    <n v="2025"/>
    <n v="3"/>
    <s v="no"/>
    <n v="4"/>
    <x v="7"/>
    <n v="2017"/>
    <s v="no"/>
    <m/>
  </r>
  <r>
    <n v="27"/>
    <n v="54"/>
    <s v="Гудзики та страждання"/>
    <s v="Пенелопа"/>
    <s v="Скай"/>
    <s v="еротично-кримінальний роман"/>
    <s v="Ebook"/>
    <s v="Ukrainian"/>
    <n v="304"/>
    <n v="2025"/>
    <n v="3"/>
    <s v="no"/>
    <n v="3"/>
    <x v="8"/>
    <n v="2017"/>
    <s v="no"/>
    <m/>
  </r>
  <r>
    <n v="28"/>
    <n v="24"/>
    <s v="Дев'ять життів Крістофера Чанта"/>
    <s v="Діана Вінн"/>
    <s v="Джонс"/>
    <s v="дитяче фентезі"/>
    <s v="Ebook"/>
    <s v="Ukrainian"/>
    <n v="358"/>
    <n v="2025"/>
    <n v="4"/>
    <s v="no"/>
    <m/>
    <x v="0"/>
    <n v="1988"/>
    <s v="yes"/>
    <m/>
  </r>
  <r>
    <n v="29"/>
    <n v="84"/>
    <s v="Демон Проспера. Потойбічник"/>
    <s v="К.Дж"/>
    <s v="Паркер"/>
    <s v="темне фентезі"/>
    <s v="Print"/>
    <s v="Ukrainian"/>
    <n v="192"/>
    <n v="2025"/>
    <n v="4"/>
    <s v="yes"/>
    <m/>
    <x v="0"/>
    <n v="2023"/>
    <s v="no"/>
    <m/>
  </r>
  <r>
    <n v="30"/>
    <n v="75"/>
    <s v="Дерева"/>
    <s v="Персіваль"/>
    <s v="Еверетт"/>
    <s v="історичий роман; чорний гумор"/>
    <s v="Ebook"/>
    <s v="Ukrainian"/>
    <n v="352"/>
    <n v="2025"/>
    <n v="5"/>
    <s v="yes"/>
    <m/>
    <x v="0"/>
    <n v="2021"/>
    <s v="no"/>
    <s v="+"/>
  </r>
  <r>
    <n v="31"/>
    <n v="7"/>
    <s v="Дим і попіл"/>
    <s v="Абір"/>
    <s v="Мухерджі"/>
    <s v="детектив"/>
    <s v="Audio"/>
    <s v="Ukrainian"/>
    <n v="352"/>
    <n v="2025"/>
    <n v="5"/>
    <s v="no"/>
    <n v="3"/>
    <x v="9"/>
    <n v="2018"/>
    <s v="no"/>
    <m/>
  </r>
  <r>
    <n v="32"/>
    <n v="110"/>
    <s v="Динозаври.Новий погляд"/>
    <s v="Майкл"/>
    <s v="Бентон"/>
    <s v="наук-поп (палеобіологія)"/>
    <s v="Print"/>
    <s v="Ukrainian"/>
    <n v="384"/>
    <n v="2025"/>
    <n v="5"/>
    <s v="yes"/>
    <m/>
    <x v="0"/>
    <n v="2023"/>
    <s v="no"/>
    <m/>
  </r>
  <r>
    <n v="33"/>
    <n v="8"/>
    <s v="Дім голосів"/>
    <s v="Донато"/>
    <s v="Каррізі"/>
    <s v="психологічний трилер"/>
    <s v="Ebook"/>
    <s v="Ukrainian"/>
    <n v="304"/>
    <n v="2025"/>
    <n v="5"/>
    <s v="yes"/>
    <n v="1"/>
    <x v="10"/>
    <n v="2019"/>
    <s v="yes"/>
    <s v="+"/>
  </r>
  <r>
    <n v="34"/>
    <n v="87"/>
    <s v="Доньки Спарти"/>
    <s v="Клер"/>
    <s v="Гейвуд"/>
    <s v="міфологічне фентезі"/>
    <s v="Ebook"/>
    <s v="Ukrainian"/>
    <n v="344"/>
    <n v="2025"/>
    <n v="5"/>
    <s v="yes"/>
    <m/>
    <x v="0"/>
    <n v="2025"/>
    <s v="no"/>
    <m/>
  </r>
  <r>
    <n v="35"/>
    <n v="44"/>
    <s v="Доторк спустошення"/>
    <s v="Скарлетт"/>
    <s v="Сент-Клер"/>
    <s v="міфологічне фентезі"/>
    <s v="Print"/>
    <s v="Ukrainian"/>
    <n v="432"/>
    <n v="2025"/>
    <n v="5"/>
    <s v="yes"/>
    <n v="3"/>
    <x v="6"/>
    <n v="2021"/>
    <s v="no"/>
    <s v="+"/>
  </r>
  <r>
    <n v="36"/>
    <n v="40"/>
    <s v="Доторк темряви"/>
    <s v="Скарлетт"/>
    <s v="Сент-Клер"/>
    <s v="міфологічне фентезі"/>
    <s v="Print"/>
    <s v="Ukrainian"/>
    <n v="400"/>
    <n v="2025"/>
    <n v="5"/>
    <s v="yes"/>
    <n v="1"/>
    <x v="6"/>
    <n v="2019"/>
    <s v="yes"/>
    <s v="+"/>
  </r>
  <r>
    <n v="37"/>
    <n v="81"/>
    <s v="Електра"/>
    <s v="Дженніфер"/>
    <s v="Сейнт"/>
    <s v="міфологічне фентезі"/>
    <s v="Ebook"/>
    <s v="Ukrainian"/>
    <n v="336"/>
    <n v="2025"/>
    <n v="5"/>
    <s v="yes"/>
    <m/>
    <x v="0"/>
    <n v="2024"/>
    <s v="no"/>
    <m/>
  </r>
  <r>
    <n v="38"/>
    <n v="2"/>
    <s v="Емоційний інтелект у дитини"/>
    <s v="Джон, Джоан"/>
    <s v="Готтман, Деклер"/>
    <s v="психологія"/>
    <s v="Print"/>
    <s v="Ukrainian"/>
    <n v="272"/>
    <n v="2025"/>
    <n v="5"/>
    <s v="no"/>
    <m/>
    <x v="0"/>
    <n v="1997"/>
    <s v="yes"/>
    <m/>
  </r>
  <r>
    <n v="39"/>
    <n v="73"/>
    <s v="Життя після життя"/>
    <s v="Раймонд"/>
    <s v="Моуді"/>
    <s v="психологія"/>
    <s v="Audio"/>
    <s v="Ukrainian"/>
    <n v="148"/>
    <n v="2025"/>
    <n v="4"/>
    <s v="no"/>
    <m/>
    <x v="0"/>
    <n v="1975"/>
    <s v="no"/>
    <m/>
  </r>
  <r>
    <n v="40"/>
    <n v="98"/>
    <s v="За річкою, в затінку дерев"/>
    <s v="Ернест"/>
    <s v="Хемінгуей"/>
    <s v="роман"/>
    <s v="Audio"/>
    <s v="Ukrainian"/>
    <n v="320"/>
    <n v="2025"/>
    <n v="5"/>
    <s v="no"/>
    <m/>
    <x v="0"/>
    <n v="1950"/>
    <s v="no"/>
    <s v="+"/>
  </r>
  <r>
    <n v="41"/>
    <n v="25"/>
    <s v="Залізне полум'я"/>
    <s v="Ребекка"/>
    <s v="Яррос"/>
    <s v="романтичне фентезі"/>
    <s v="Audio"/>
    <s v="Ukrainian"/>
    <n v="623"/>
    <n v="2025"/>
    <n v="4"/>
    <s v="no"/>
    <n v="2"/>
    <x v="11"/>
    <n v="2023"/>
    <s v="no"/>
    <m/>
  </r>
  <r>
    <n v="42"/>
    <n v="36"/>
    <s v="Запах смерті"/>
    <s v="Саймон"/>
    <s v="Бекетт"/>
    <s v="детективний трилер"/>
    <s v="Print"/>
    <s v="Ukrainian"/>
    <n v="368"/>
    <n v="2025"/>
    <n v="5"/>
    <s v="yes"/>
    <n v="6"/>
    <x v="12"/>
    <n v="2019"/>
    <s v="no"/>
    <s v="+"/>
  </r>
  <r>
    <n v="43"/>
    <n v="107"/>
    <s v="Затьмарення"/>
    <s v="Філіп К."/>
    <s v="Дік"/>
    <s v="науково-фантастичний роман; психологічна проза; кіберпанк "/>
    <s v="Audio"/>
    <s v="Ukrainian"/>
    <n v="368"/>
    <n v="2025"/>
    <n v="4"/>
    <s v="no"/>
    <m/>
    <x v="0"/>
    <n v="1977"/>
    <s v="no"/>
    <m/>
  </r>
  <r>
    <n v="44"/>
    <n v="86"/>
    <s v="Звіробій"/>
    <s v="Джеймс Фенімор"/>
    <s v="Купер"/>
    <s v="пригодницьки й роман"/>
    <s v="Audio"/>
    <s v="Ukrainian"/>
    <n v="448"/>
    <n v="2025"/>
    <n v="5"/>
    <s v="no"/>
    <m/>
    <x v="0"/>
    <n v="1841"/>
    <s v="no"/>
    <s v="+"/>
  </r>
  <r>
    <n v="45"/>
    <n v="34"/>
    <s v="Зоряні війни: Стара Республіка: Реван"/>
    <s v="Дрю"/>
    <s v="Карпишин"/>
    <s v="наукова фантастика"/>
    <s v="Audio"/>
    <s v="Ukrainian"/>
    <n v="320"/>
    <n v="2025"/>
    <n v="5"/>
    <s v="no"/>
    <m/>
    <x v="0"/>
    <n v="2011"/>
    <s v="no"/>
    <s v="+"/>
  </r>
  <r>
    <n v="46"/>
    <n v="90"/>
    <s v="Клітемнестра"/>
    <s v="Констанца"/>
    <s v="Казаті"/>
    <s v="міфологічне фентезі"/>
    <s v="Ebook"/>
    <s v="Ukrainian"/>
    <n v="512"/>
    <n v="2025"/>
    <n v="5"/>
    <s v="yes"/>
    <m/>
    <x v="0"/>
    <n v="2025"/>
    <s v="no"/>
    <m/>
  </r>
  <r>
    <n v="47"/>
    <n v="108"/>
    <s v="Книгоїди"/>
    <s v="Суньї"/>
    <s v="Дін"/>
    <s v="готичний трилер"/>
    <s v="Ebook"/>
    <s v="Ukrainian"/>
    <n v="456"/>
    <n v="2025"/>
    <n v="5"/>
    <s v="yes"/>
    <m/>
    <x v="0"/>
    <n v="2022"/>
    <s v="no"/>
    <m/>
  </r>
  <r>
    <n v="48"/>
    <n v="15"/>
    <s v="Крамничка на розі"/>
    <s v="Джоджо"/>
    <s v="Мойєс"/>
    <s v="любовний роман"/>
    <s v="Ebook"/>
    <s v="Ukrainian"/>
    <n v="480"/>
    <n v="2025"/>
    <n v="3"/>
    <s v="yes"/>
    <m/>
    <x v="0"/>
    <n v="2005"/>
    <s v="yes"/>
    <m/>
  </r>
  <r>
    <n v="49"/>
    <n v="105"/>
    <s v="Людина у високому замку"/>
    <s v="Філіп К."/>
    <s v="Дік"/>
    <s v="антиутопія"/>
    <s v="Audio"/>
    <s v="Ukrainian"/>
    <n v="360"/>
    <n v="2025"/>
    <n v="5"/>
    <s v="no"/>
    <m/>
    <x v="0"/>
    <n v="1962"/>
    <s v="no"/>
    <m/>
  </r>
  <r>
    <n v="50"/>
    <n v="9"/>
    <s v="Машина часу"/>
    <s v="Герберт"/>
    <s v="Веллс"/>
    <s v="науково-фантастичний роман"/>
    <s v="Audio"/>
    <s v="Ukrainian"/>
    <n v="240"/>
    <n v="2025"/>
    <n v="4"/>
    <s v="no"/>
    <m/>
    <x v="0"/>
    <n v="1888"/>
    <s v="yes"/>
    <m/>
  </r>
  <r>
    <n v="51"/>
    <n v="3"/>
    <s v="Ми, живі"/>
    <s v="Айн"/>
    <s v="Ренд"/>
    <s v="історичний роман"/>
    <s v="Print"/>
    <s v="Ukrainian"/>
    <n v="504"/>
    <n v="2025"/>
    <n v="5"/>
    <s v="yes"/>
    <m/>
    <x v="0"/>
    <n v="1936"/>
    <s v="yes"/>
    <s v="+"/>
  </r>
  <r>
    <n v="52"/>
    <n v="48"/>
    <s v="Міккі 7"/>
    <s v="Едвард"/>
    <s v="Ештон"/>
    <s v="науково-фантастичний роман"/>
    <s v="Audio"/>
    <s v="Ukrainian"/>
    <n v="256"/>
    <n v="2025"/>
    <n v="5"/>
    <s v="no"/>
    <n v="1"/>
    <x v="2"/>
    <n v="2022"/>
    <s v="no"/>
    <s v="+"/>
  </r>
  <r>
    <n v="53"/>
    <n v="18"/>
    <s v="Мовчання ягнят"/>
    <s v="Томас"/>
    <s v="Гарріс"/>
    <s v="жахи, трилер"/>
    <s v="Audio"/>
    <s v="Ukrainian"/>
    <n v="338"/>
    <n v="2025"/>
    <n v="5"/>
    <s v="no"/>
    <n v="2"/>
    <x v="4"/>
    <n v="1988"/>
    <s v="yes"/>
    <s v="+"/>
  </r>
  <r>
    <n v="54"/>
    <n v="50"/>
    <s v="Не моє ім'я"/>
    <s v="Меган"/>
    <s v="Лаллі"/>
    <s v="детективний трилер"/>
    <s v="Ebook"/>
    <s v="Ukrainian"/>
    <n v="496"/>
    <n v="2025"/>
    <n v="5"/>
    <s v="yes"/>
    <m/>
    <x v="0"/>
    <n v="2025"/>
    <s v="no"/>
    <m/>
  </r>
  <r>
    <n v="55"/>
    <n v="30"/>
    <s v="Невгамовні мерці"/>
    <s v="Саймон"/>
    <s v="Бекетт"/>
    <s v="детективний трилер"/>
    <s v="Print"/>
    <s v="Ukrainian"/>
    <n v="496"/>
    <n v="2025"/>
    <n v="5"/>
    <s v="yes"/>
    <n v="5"/>
    <x v="12"/>
    <n v="2017"/>
    <s v="yes"/>
    <s v="+"/>
  </r>
  <r>
    <n v="56"/>
    <n v="6"/>
    <s v="Незриме життя Адді Лярю"/>
    <s v="Вікторія"/>
    <s v="Шваб"/>
    <s v="історичне фентезі"/>
    <s v="Ebook"/>
    <s v="Ukrainian"/>
    <n v="544"/>
    <n v="2025"/>
    <n v="4"/>
    <s v="yes"/>
    <m/>
    <x v="0"/>
    <n v="2020"/>
    <s v="yes"/>
    <m/>
  </r>
  <r>
    <n v="57"/>
    <n v="5"/>
    <s v="Необхідне зло"/>
    <s v="Абір"/>
    <s v="Мухерджі"/>
    <s v="детектив"/>
    <s v="Audio"/>
    <s v="Ukrainian"/>
    <n v="400"/>
    <n v="2025"/>
    <n v="5"/>
    <s v="no"/>
    <n v="2"/>
    <x v="9"/>
    <n v="2017"/>
    <s v="yes"/>
    <m/>
  </r>
  <r>
    <n v="58"/>
    <n v="104"/>
    <s v="Непрохані поради для вбивць від Віри Вон"/>
    <s v="Джессі"/>
    <s v="Сутанто"/>
    <s v="гумористичний детектив"/>
    <s v="Ebook"/>
    <s v="Ukrainian"/>
    <n v="408"/>
    <n v="2025"/>
    <n v="5"/>
    <s v="yes"/>
    <m/>
    <x v="0"/>
    <n v="2025"/>
    <s v="no"/>
    <s v="+"/>
  </r>
  <r>
    <n v="59"/>
    <n v="77"/>
    <s v="Оксфордські вбивства"/>
    <s v="Гільєрмо"/>
    <s v="Мартінес"/>
    <s v="інтелектуальний детектив"/>
    <s v="Ebook"/>
    <s v="Ukrainian"/>
    <n v="180"/>
    <n v="2025"/>
    <n v="5"/>
    <s v="yes"/>
    <m/>
    <x v="0"/>
    <n v="2003"/>
    <s v="no"/>
    <m/>
  </r>
  <r>
    <n v="60"/>
    <n v="33"/>
    <s v="Палюче тепло вб'є нас найперше"/>
    <s v="Джефф"/>
    <s v="Гуделл"/>
    <s v="наук-поп"/>
    <s v="Print"/>
    <s v="Ukrainian"/>
    <n v="368"/>
    <n v="2025"/>
    <n v="5"/>
    <s v="yes"/>
    <m/>
    <x v="0"/>
    <n v="2024"/>
    <s v="yes"/>
    <m/>
  </r>
  <r>
    <n v="61"/>
    <n v="69"/>
    <s v="Панк 57"/>
    <s v="Пенелопа"/>
    <s v="Дуглас"/>
    <s v="дарк роман"/>
    <s v="Audio"/>
    <s v="Ukrainian"/>
    <n v="448"/>
    <n v="2025"/>
    <n v="4"/>
    <s v="no"/>
    <m/>
    <x v="0"/>
    <n v="2016"/>
    <s v="no"/>
    <m/>
  </r>
  <r>
    <n v="62"/>
    <n v="95"/>
    <s v="Персі Джексон і олімпійці: викрадач блискавок"/>
    <s v="Рік"/>
    <s v="Ріордан"/>
    <s v="міфологічне фентезі"/>
    <s v="Ebook"/>
    <s v="Ukrainian"/>
    <n v="400"/>
    <n v="2025"/>
    <n v="5"/>
    <s v="yes"/>
    <n v="1"/>
    <x v="13"/>
    <n v="2005"/>
    <s v="no"/>
    <m/>
  </r>
  <r>
    <n v="63"/>
    <n v="97"/>
    <s v="Персі Джексон і олімпійці: море чудовиськ"/>
    <s v="Рік"/>
    <s v="Ріордан"/>
    <s v="міфологічне фентезі"/>
    <s v="Ebook"/>
    <s v="Ukrainian"/>
    <n v="304"/>
    <n v="2025"/>
    <n v="5"/>
    <s v="yes"/>
    <n v="2"/>
    <x v="13"/>
    <n v="2006"/>
    <s v="no"/>
    <m/>
  </r>
  <r>
    <n v="64"/>
    <n v="99"/>
    <s v="Персі Джексон і олімпійці: прокляття титана"/>
    <s v="Рік"/>
    <s v="Ріордан"/>
    <s v="міфологічне фентезі"/>
    <s v="Ebook"/>
    <s v="Ukrainian"/>
    <n v="336"/>
    <n v="2025"/>
    <n v="4"/>
    <s v="yes"/>
    <n v="3"/>
    <x v="13"/>
    <n v="2007"/>
    <s v="no"/>
    <m/>
  </r>
  <r>
    <n v="65"/>
    <n v="13"/>
    <s v="Північний вітер"/>
    <s v="Даніель"/>
    <s v="Глаттауер"/>
    <s v="роман"/>
    <s v="Audio"/>
    <s v="Ukrainian"/>
    <n v="192"/>
    <n v="2025"/>
    <n v="3"/>
    <s v="no"/>
    <m/>
    <x v="0"/>
    <n v="2006"/>
    <s v="no"/>
    <m/>
  </r>
  <r>
    <n v="66"/>
    <n v="83"/>
    <s v="Пісня Ахілла"/>
    <s v="Медлін"/>
    <s v="Міллер"/>
    <s v="міфологічне фентезі"/>
    <s v="Ebook"/>
    <s v="Ukrainian"/>
    <n v="368"/>
    <n v="2025"/>
    <n v="5"/>
    <s v="yes"/>
    <m/>
    <x v="0"/>
    <n v="2011"/>
    <s v="no"/>
    <m/>
  </r>
  <r>
    <n v="67"/>
    <n v="82"/>
    <s v="Поверни мене в Японію"/>
    <s v="Галина"/>
    <s v="Ів"/>
    <s v="міське фентезі"/>
    <s v="Print"/>
    <s v="Ukrainian"/>
    <n v="176"/>
    <n v="2025"/>
    <n v="5"/>
    <s v="yes"/>
    <m/>
    <x v="0"/>
    <n v="2015"/>
    <s v="no"/>
    <m/>
  </r>
  <r>
    <n v="68"/>
    <n v="26"/>
    <s v="Поглиначі мертвих"/>
    <s v="Майкл"/>
    <s v="Крайтон"/>
    <s v="історичний роман"/>
    <s v="Ebook"/>
    <s v="Ukrainian"/>
    <n v="272"/>
    <n v="2025"/>
    <n v="5"/>
    <s v="yes"/>
    <m/>
    <x v="0"/>
    <n v="1976"/>
    <s v="yes"/>
    <s v="+"/>
  </r>
  <r>
    <n v="69"/>
    <n v="103"/>
    <s v="Попіл лине до неба. Том 1"/>
    <s v="Нін, Матьє"/>
    <s v="Горман, Гібс"/>
    <s v="дарк роман"/>
    <s v="Print"/>
    <s v="Ukrainian"/>
    <n v="376"/>
    <n v="2025"/>
    <n v="5"/>
    <s v="yes"/>
    <n v="1"/>
    <x v="14"/>
    <n v="2024"/>
    <s v="yes"/>
    <m/>
  </r>
  <r>
    <n v="70"/>
    <n v="64"/>
    <s v="Порожня могила"/>
    <s v="Джонатан"/>
    <s v="Страуд"/>
    <s v="підліткове фентезі"/>
    <s v="Print"/>
    <s v="Ukrainian"/>
    <n v="400"/>
    <n v="2025"/>
    <n v="5"/>
    <s v="no"/>
    <n v="5"/>
    <x v="15"/>
    <n v="2017"/>
    <s v="no"/>
    <m/>
  </r>
  <r>
    <n v="71"/>
    <n v="76"/>
    <s v="Портрет Доріана Грея"/>
    <s v="Оскар"/>
    <s v="Уальд"/>
    <s v="готичний роман"/>
    <s v="Audio"/>
    <s v="Ukrainian"/>
    <n v="288"/>
    <n v="2025"/>
    <n v="5"/>
    <s v="no"/>
    <m/>
    <x v="0"/>
    <n v="1890"/>
    <s v="no"/>
    <m/>
  </r>
  <r>
    <n v="72"/>
    <n v="55"/>
    <s v="Приворотне зілля"/>
    <s v="Брати"/>
    <s v="Капранови"/>
    <s v="містичний роман"/>
    <s v="Audio"/>
    <s v="Ukrainian"/>
    <n v="288"/>
    <n v="2025"/>
    <n v="4"/>
    <s v="no"/>
    <m/>
    <x v="0"/>
    <n v="2012"/>
    <s v="no"/>
    <m/>
  </r>
  <r>
    <n v="73"/>
    <n v="62"/>
    <s v="Примарний хлопець"/>
    <s v="Джонатан"/>
    <s v="Страуд"/>
    <s v="підліткове фентезі"/>
    <s v="Print"/>
    <s v="Ukrainian"/>
    <n v="352"/>
    <n v="2025"/>
    <n v="5"/>
    <s v="no"/>
    <n v="3"/>
    <x v="15"/>
    <n v="2015"/>
    <s v="no"/>
    <m/>
  </r>
  <r>
    <n v="74"/>
    <n v="43"/>
    <s v="Регтайм"/>
    <s v="Едгар Лоуренс"/>
    <s v="Доктороу"/>
    <s v="історичний роман"/>
    <s v="Audio"/>
    <s v="Ukrainian"/>
    <n v="320"/>
    <n v="2025"/>
    <n v="5"/>
    <s v="no"/>
    <m/>
    <x v="0"/>
    <n v="1975"/>
    <s v="no"/>
    <m/>
  </r>
  <r>
    <n v="75"/>
    <n v="28"/>
    <s v="Родаки"/>
    <s v="Дмитро"/>
    <s v="Кешеля"/>
    <s v="роман-колаж"/>
    <s v="Audio"/>
    <s v="Ukrainian"/>
    <n v="384"/>
    <n v="2025"/>
    <n v="4"/>
    <s v="no"/>
    <m/>
    <x v="0"/>
    <n v="2016"/>
    <s v="no"/>
    <m/>
  </r>
  <r>
    <n v="76"/>
    <n v="57"/>
    <s v="Світло у промені"/>
    <s v="Дженніфер"/>
    <s v="Арментраут"/>
    <s v="романтичне фентезі"/>
    <s v="Print"/>
    <s v="Ukrainian"/>
    <n v="736"/>
    <n v="2025"/>
    <n v="5"/>
    <s v="yes"/>
    <n v="2"/>
    <x v="16"/>
    <n v="2022"/>
    <s v="no"/>
    <m/>
  </r>
  <r>
    <n v="77"/>
    <n v="71"/>
    <s v="Сіддхартха"/>
    <s v="Герман"/>
    <s v="Гессе"/>
    <s v="філософський роман"/>
    <s v="Audio"/>
    <s v="Ukrainian"/>
    <n v="159"/>
    <n v="2025"/>
    <n v="5"/>
    <s v="no"/>
    <m/>
    <x v="0"/>
    <n v="1922"/>
    <s v="no"/>
    <m/>
  </r>
  <r>
    <n v="78"/>
    <n v="65"/>
    <s v="Сліпа лють"/>
    <s v="Наталі"/>
    <s v="Гейнс"/>
    <s v="міфологічне фентезі"/>
    <s v="Ebook"/>
    <s v="Ukrainian"/>
    <n v="336"/>
    <n v="2025"/>
    <n v="5"/>
    <s v="yes"/>
    <m/>
    <x v="0"/>
    <n v="2025"/>
    <s v="no"/>
    <s v="+"/>
  </r>
  <r>
    <n v="79"/>
    <n v="23"/>
    <s v="Смарагдове небо"/>
    <s v="Ілона"/>
    <s v="Верхівська-Ельтек"/>
    <s v="поезія"/>
    <s v="Print"/>
    <s v="Ukrainian"/>
    <n v="412"/>
    <n v="2025"/>
    <n v="4"/>
    <s v="no"/>
    <m/>
    <x v="0"/>
    <n v="2024"/>
    <s v="no"/>
    <m/>
  </r>
  <r>
    <n v="80"/>
    <n v="32"/>
    <s v="Смертельна небезпека"/>
    <s v="Джим"/>
    <s v="Бутчер"/>
    <s v="міське детективне фентезі"/>
    <s v="Audio"/>
    <s v="Ukrainian"/>
    <n v="378"/>
    <n v="2025"/>
    <n v="4"/>
    <s v="no"/>
    <n v="3"/>
    <x v="1"/>
    <n v="2001"/>
    <s v="no"/>
    <m/>
  </r>
  <r>
    <n v="81"/>
    <n v="14"/>
    <s v="Смерть на Сході"/>
    <s v="Абір"/>
    <s v="Мухерджі"/>
    <s v="детектив"/>
    <s v="Audio"/>
    <s v="Ukrainian"/>
    <n v="400"/>
    <n v="2025"/>
    <n v="4"/>
    <s v="no"/>
    <n v="4"/>
    <x v="9"/>
    <n v="2019"/>
    <s v="yes"/>
    <m/>
  </r>
  <r>
    <n v="82"/>
    <n v="39"/>
    <s v="Соляріс"/>
    <s v="Станіслав"/>
    <s v="Лем"/>
    <s v="науково-фантастичний роман"/>
    <s v="Audio"/>
    <s v="Ukrainian"/>
    <n v="352"/>
    <n v="2025"/>
    <n v="5"/>
    <s v="no"/>
    <m/>
    <x v="0"/>
    <n v="1961"/>
    <s v="no"/>
    <m/>
  </r>
  <r>
    <n v="83"/>
    <n v="12"/>
    <s v="Список бажань"/>
    <s v="Йон"/>
    <s v="Колфер"/>
    <s v="фантастична повість"/>
    <s v="Audio"/>
    <s v="Ukrainian"/>
    <n v="288"/>
    <n v="2025"/>
    <n v="5"/>
    <s v="no"/>
    <m/>
    <x v="0"/>
    <n v="2007"/>
    <s v="no"/>
    <m/>
  </r>
  <r>
    <n v="84"/>
    <n v="41"/>
    <s v="Стерв'ятник - птах терплячий"/>
    <s v="Джеймс"/>
    <s v="Хедлі Чейз"/>
    <s v="детектив"/>
    <s v="Audio"/>
    <s v="Ukrainian"/>
    <n v="232"/>
    <n v="2025"/>
    <n v="5"/>
    <s v="no"/>
    <m/>
    <x v="0"/>
    <n v="1969"/>
    <s v="no"/>
    <m/>
  </r>
  <r>
    <n v="85"/>
    <n v="21"/>
    <s v="Сходження Ганнібала"/>
    <s v="Томас"/>
    <s v="Гарріс"/>
    <s v="жахи, трилер"/>
    <s v="Audio"/>
    <s v="Ukrainian"/>
    <n v="288"/>
    <n v="2025"/>
    <n v="5"/>
    <s v="no"/>
    <n v="4"/>
    <x v="4"/>
    <n v="2006"/>
    <s v="yes"/>
    <s v="+"/>
  </r>
  <r>
    <n v="86"/>
    <n v="60"/>
    <s v="Сходи, що кричать"/>
    <s v="Джонатан"/>
    <s v="Страуд"/>
    <s v="підліткове фентезі"/>
    <s v="Print"/>
    <s v="Ukrainian"/>
    <n v="320"/>
    <n v="2025"/>
    <n v="5"/>
    <s v="no"/>
    <n v="1"/>
    <x v="15"/>
    <n v="2013"/>
    <s v="no"/>
    <m/>
  </r>
  <r>
    <n v="87"/>
    <n v="27"/>
    <s v="Типу Б'юїк 8"/>
    <s v="Стівен"/>
    <s v="Кінг"/>
    <s v="фантастика; жахи"/>
    <s v="Audio"/>
    <s v="Ukrainian"/>
    <n v="496"/>
    <n v="2025"/>
    <n v="4"/>
    <s v="no"/>
    <m/>
    <x v="0"/>
    <n v="2002"/>
    <s v="no"/>
    <m/>
  </r>
  <r>
    <n v="88"/>
    <n v="102"/>
    <s v="Тіні людей"/>
    <s v="Абір"/>
    <s v="Мухерджі"/>
    <s v="детектив"/>
    <s v="Audio"/>
    <s v="Ukrainian"/>
    <n v="352"/>
    <n v="2025"/>
    <n v="5"/>
    <s v="no"/>
    <n v="5"/>
    <x v="9"/>
    <n v="2025"/>
    <s v="no"/>
    <m/>
  </r>
  <r>
    <n v="89"/>
    <n v="63"/>
    <s v="Тінь, що крадеться"/>
    <s v="Джонатан"/>
    <s v="Страуд"/>
    <s v="підліткове фентезі"/>
    <s v="Print"/>
    <s v="Ukrainian"/>
    <n v="392"/>
    <n v="2025"/>
    <n v="5"/>
    <s v="no"/>
    <n v="4"/>
    <x v="15"/>
    <n v="2016"/>
    <s v="no"/>
    <m/>
  </r>
  <r>
    <n v="90"/>
    <n v="47"/>
    <s v="Три мушкетери"/>
    <s v="Олександр"/>
    <s v="Дюма"/>
    <s v="пригодницьки й роман"/>
    <s v="Audio"/>
    <s v="Ukrainian"/>
    <n v="736"/>
    <n v="2025"/>
    <n v="5"/>
    <s v="no"/>
    <m/>
    <x v="0"/>
    <n v="1844"/>
    <s v="no"/>
    <s v="+"/>
  </r>
  <r>
    <n v="91"/>
    <n v="45"/>
    <s v="Хижа"/>
    <s v="Вільям Пол"/>
    <s v="Янг"/>
    <s v="християнський роман"/>
    <s v="Audio"/>
    <s v="Ukrainian"/>
    <n v="288"/>
    <n v="2025"/>
    <n v="4"/>
    <s v="no"/>
    <m/>
    <x v="0"/>
    <n v="2007"/>
    <s v="no"/>
    <m/>
  </r>
  <r>
    <n v="92"/>
    <n v="10"/>
    <s v="Холлі"/>
    <s v="Стівен"/>
    <s v="Кінг"/>
    <s v="детектив"/>
    <s v="Ebook"/>
    <s v="Ukrainian"/>
    <n v="608"/>
    <n v="2025"/>
    <n v="5"/>
    <s v="yes"/>
    <m/>
    <x v="0"/>
    <n v="2023"/>
    <s v="yes"/>
    <s v="+"/>
  </r>
  <r>
    <n v="93"/>
    <n v="93"/>
    <s v="Хроніки Нарнії: Кінь і його хлопчик"/>
    <s v="Клайв Стейплз"/>
    <s v="Льюїс"/>
    <s v="дитяче фентезі"/>
    <s v="Audio"/>
    <s v="Ukrainian"/>
    <n v="208"/>
    <n v="2025"/>
    <n v="4"/>
    <s v="no"/>
    <n v="5"/>
    <x v="17"/>
    <n v="1954"/>
    <s v="no"/>
    <m/>
  </r>
  <r>
    <n v="94"/>
    <n v="88"/>
    <s v="Хроніки Нарнії: Лев, Чаклунка та шафа"/>
    <s v="Клайв Стейплз"/>
    <s v="Льюїс"/>
    <s v="дитяче фентезі"/>
    <s v="Audio"/>
    <s v="Ukrainian"/>
    <n v="176"/>
    <n v="2025"/>
    <n v="5"/>
    <s v="no"/>
    <n v="1"/>
    <x v="17"/>
    <n v="1950"/>
    <s v="no"/>
    <m/>
  </r>
  <r>
    <n v="95"/>
    <n v="91"/>
    <s v="Хроніки Нарнії: Морські пригоди"/>
    <s v="Клайв Стейплз"/>
    <s v="Льюїс"/>
    <s v="дитяче фентезі"/>
    <s v="Audio"/>
    <s v="Ukrainian"/>
    <n v="208"/>
    <n v="2025"/>
    <n v="4"/>
    <s v="no"/>
    <n v="3"/>
    <x v="17"/>
    <n v="1952"/>
    <s v="no"/>
    <m/>
  </r>
  <r>
    <n v="96"/>
    <n v="94"/>
    <s v="Хроніки Нарнії: Небіж чаклуна"/>
    <s v="Клайв Стейплз"/>
    <s v="Льюїс"/>
    <s v="дитяче фентезі"/>
    <s v="Audio"/>
    <s v="Ukrainian"/>
    <n v="160"/>
    <n v="2025"/>
    <n v="4"/>
    <s v="no"/>
    <n v="6"/>
    <x v="17"/>
    <n v="1955"/>
    <s v="no"/>
    <m/>
  </r>
  <r>
    <n v="97"/>
    <n v="96"/>
    <s v="Хроніки Нарнії: Остання битва"/>
    <s v="Клайв Стейплз"/>
    <s v="Льюїс"/>
    <s v="дитяче фентезі"/>
    <s v="Audio"/>
    <s v="Ukrainian"/>
    <n v="176"/>
    <n v="2025"/>
    <n v="4"/>
    <s v="no"/>
    <n v="7"/>
    <x v="17"/>
    <n v="1956"/>
    <s v="no"/>
    <m/>
  </r>
  <r>
    <n v="98"/>
    <n v="89"/>
    <s v="Хроніки Нарнії: Принц Каспіан"/>
    <s v="Клайв Стейплз"/>
    <s v="Льюїс"/>
    <s v="дитяче фентезі"/>
    <s v="Audio"/>
    <s v="Ukrainian"/>
    <n v="256"/>
    <n v="2025"/>
    <n v="5"/>
    <s v="no"/>
    <n v="2"/>
    <x v="17"/>
    <n v="1951"/>
    <s v="no"/>
    <m/>
  </r>
  <r>
    <n v="99"/>
    <n v="92"/>
    <s v="Хроніки Нарнії: Срібний трон"/>
    <s v="Клайв Стейплз"/>
    <s v="Льюїс"/>
    <s v="дитяче фентезі"/>
    <s v="Audio"/>
    <s v="Ukrainian"/>
    <n v="208"/>
    <n v="2025"/>
    <n v="4"/>
    <s v="no"/>
    <n v="4"/>
    <x v="17"/>
    <n v="1953"/>
    <s v="no"/>
    <m/>
  </r>
  <r>
    <n v="100"/>
    <n v="49"/>
    <s v="Художник хиткого світу"/>
    <s v="Кадзуо"/>
    <s v="Ішігуро"/>
    <s v="роман"/>
    <s v="Print"/>
    <s v="Ukrainian"/>
    <n v="232"/>
    <n v="2025"/>
    <n v="5"/>
    <s v="yes"/>
    <m/>
    <x v="0"/>
    <n v="2020"/>
    <s v="no"/>
    <m/>
  </r>
  <r>
    <n v="101"/>
    <n v="72"/>
    <s v="Цирцея"/>
    <s v="Медлін"/>
    <s v="Міллер"/>
    <s v="міфологічне фентезі"/>
    <s v="Ebook"/>
    <s v="Ukrainian"/>
    <n v="400"/>
    <n v="2025"/>
    <n v="5"/>
    <s v="yes"/>
    <m/>
    <x v="0"/>
    <n v="2018"/>
    <s v="no"/>
    <m/>
  </r>
  <r>
    <n v="102"/>
    <n v="19"/>
    <s v="Часосховище"/>
    <s v="Георгі"/>
    <s v="Господінов"/>
    <s v="роман"/>
    <s v="Ebook"/>
    <s v="Ukrainian"/>
    <n v="360"/>
    <n v="2025"/>
    <n v="3"/>
    <s v="yes"/>
    <m/>
    <x v="0"/>
    <n v="2020"/>
    <s v="yes"/>
    <m/>
  </r>
  <r>
    <n v="103"/>
    <n v="17"/>
    <s v="Червоний дракон"/>
    <s v="Томас"/>
    <s v="Гарріс"/>
    <s v="жахи, трилер"/>
    <s v="Audio"/>
    <s v="Ukrainian"/>
    <n v="400"/>
    <n v="2025"/>
    <n v="5"/>
    <s v="no"/>
    <n v="1"/>
    <x v="4"/>
    <n v="1981"/>
    <s v="yes"/>
    <s v="+"/>
  </r>
  <r>
    <n v="104"/>
    <n v="11"/>
    <s v="Червоні лубутени"/>
    <s v="Джоджо"/>
    <s v="Мойєс"/>
    <s v="любовний роман"/>
    <s v="Ebook"/>
    <s v="Ukrainian"/>
    <n v="448"/>
    <n v="2025"/>
    <n v="5"/>
    <s v="yes"/>
    <m/>
    <x v="0"/>
    <n v="2023"/>
    <s v="yes"/>
    <s v="+"/>
  </r>
  <r>
    <n v="105"/>
    <n v="61"/>
    <s v="Череп, що шепоче"/>
    <s v="Джонатан"/>
    <s v="Страуд"/>
    <s v="підліткове фентезі"/>
    <s v="Print"/>
    <s v="Ukrainian"/>
    <n v="352"/>
    <n v="2025"/>
    <n v="5"/>
    <s v="no"/>
    <n v="2"/>
    <x v="15"/>
    <n v="2014"/>
    <s v="no"/>
    <m/>
  </r>
  <r>
    <n v="106"/>
    <n v="22"/>
    <s v="Четверте крило"/>
    <s v="Ребекка"/>
    <s v="Яррос"/>
    <s v="романтичне фентезі"/>
    <s v="Audio"/>
    <s v="Ukrainian"/>
    <n v="528"/>
    <n v="2025"/>
    <n v="4"/>
    <s v="no"/>
    <n v="1"/>
    <x v="11"/>
    <n v="2023"/>
    <s v="no"/>
    <m/>
  </r>
  <r>
    <n v="107"/>
    <n v="1"/>
    <s v="Читець"/>
    <s v="Бернхард"/>
    <s v="Шлінк "/>
    <s v="роман"/>
    <s v="Print"/>
    <s v="Ukrainian"/>
    <n v="189"/>
    <n v="2025"/>
    <n v="5"/>
    <s v="yes"/>
    <m/>
    <x v="0"/>
    <n v="1995"/>
    <s v="yes"/>
    <s v="+"/>
  </r>
  <r>
    <n v="108"/>
    <n v="58"/>
    <s v="Чорний дім"/>
    <s v="Стівен, Пітер"/>
    <s v="Кінг, Страуб"/>
    <s v="фентезі"/>
    <s v="Audio"/>
    <s v="Ukrainian"/>
    <n v="800"/>
    <n v="2025"/>
    <n v="4"/>
    <s v="no"/>
    <m/>
    <x v="0"/>
    <n v="2001"/>
    <s v="no"/>
    <m/>
  </r>
  <r>
    <n v="109"/>
    <n v="29"/>
    <s v="Штормовий фронт"/>
    <s v="Джим"/>
    <s v="Бутчер"/>
    <s v="міське детективне фентезі"/>
    <s v="Audio"/>
    <s v="Ukrainian"/>
    <n v="322"/>
    <n v="2025"/>
    <n v="4"/>
    <s v="no"/>
    <n v="1"/>
    <x v="1"/>
    <n v="2000"/>
    <s v="no"/>
    <m/>
  </r>
  <r>
    <n v="110"/>
    <n v="80"/>
    <s v="Янкі з Коннектикуту при дворі короля Артура"/>
    <s v="Марк"/>
    <s v="Твен"/>
    <s v="пригодницьки й роман"/>
    <s v="Audio"/>
    <s v="Ukrainian"/>
    <n v="575"/>
    <n v="2025"/>
    <n v="5"/>
    <s v="no"/>
    <m/>
    <x v="0"/>
    <n v="1889"/>
    <s v="no"/>
    <m/>
  </r>
  <r>
    <n v="111"/>
    <n v="111"/>
    <m/>
    <m/>
    <m/>
    <m/>
    <m/>
    <m/>
    <m/>
    <m/>
    <m/>
    <m/>
    <m/>
    <x v="0"/>
    <m/>
    <m/>
    <m/>
  </r>
  <r>
    <n v="112"/>
    <n v="112"/>
    <m/>
    <m/>
    <m/>
    <m/>
    <m/>
    <m/>
    <m/>
    <m/>
    <m/>
    <m/>
    <m/>
    <x v="0"/>
    <m/>
    <m/>
    <m/>
  </r>
  <r>
    <n v="113"/>
    <n v="113"/>
    <m/>
    <m/>
    <m/>
    <m/>
    <m/>
    <m/>
    <m/>
    <m/>
    <m/>
    <m/>
    <m/>
    <x v="0"/>
    <m/>
    <m/>
    <m/>
  </r>
  <r>
    <n v="114"/>
    <n v="114"/>
    <m/>
    <m/>
    <m/>
    <m/>
    <m/>
    <m/>
    <m/>
    <m/>
    <m/>
    <m/>
    <m/>
    <x v="0"/>
    <m/>
    <m/>
    <m/>
  </r>
  <r>
    <n v="115"/>
    <n v="115"/>
    <m/>
    <m/>
    <m/>
    <m/>
    <m/>
    <m/>
    <m/>
    <m/>
    <m/>
    <m/>
    <m/>
    <x v="0"/>
    <m/>
    <m/>
    <m/>
  </r>
  <r>
    <n v="116"/>
    <n v="116"/>
    <m/>
    <m/>
    <m/>
    <m/>
    <m/>
    <m/>
    <m/>
    <m/>
    <m/>
    <m/>
    <m/>
    <x v="0"/>
    <m/>
    <m/>
    <m/>
  </r>
  <r>
    <n v="117"/>
    <n v="117"/>
    <m/>
    <m/>
    <m/>
    <m/>
    <m/>
    <m/>
    <m/>
    <m/>
    <m/>
    <m/>
    <m/>
    <x v="0"/>
    <m/>
    <m/>
    <m/>
  </r>
  <r>
    <n v="118"/>
    <n v="118"/>
    <m/>
    <m/>
    <m/>
    <m/>
    <m/>
    <m/>
    <m/>
    <m/>
    <m/>
    <m/>
    <m/>
    <x v="0"/>
    <m/>
    <m/>
    <m/>
  </r>
  <r>
    <n v="119"/>
    <n v="119"/>
    <m/>
    <m/>
    <m/>
    <m/>
    <m/>
    <m/>
    <m/>
    <m/>
    <m/>
    <m/>
    <m/>
    <x v="0"/>
    <m/>
    <m/>
    <m/>
  </r>
  <r>
    <n v="120"/>
    <n v="120"/>
    <m/>
    <m/>
    <m/>
    <m/>
    <m/>
    <m/>
    <m/>
    <m/>
    <m/>
    <m/>
    <m/>
    <x v="0"/>
    <m/>
    <m/>
    <m/>
  </r>
  <r>
    <n v="121"/>
    <n v="121"/>
    <m/>
    <m/>
    <m/>
    <m/>
    <m/>
    <m/>
    <m/>
    <m/>
    <m/>
    <m/>
    <m/>
    <x v="0"/>
    <m/>
    <m/>
    <m/>
  </r>
  <r>
    <n v="122"/>
    <n v="122"/>
    <m/>
    <m/>
    <m/>
    <m/>
    <m/>
    <m/>
    <m/>
    <m/>
    <m/>
    <m/>
    <m/>
    <x v="0"/>
    <m/>
    <m/>
    <m/>
  </r>
  <r>
    <n v="123"/>
    <n v="123"/>
    <m/>
    <m/>
    <m/>
    <m/>
    <m/>
    <m/>
    <m/>
    <m/>
    <m/>
    <m/>
    <m/>
    <x v="0"/>
    <m/>
    <m/>
    <m/>
  </r>
  <r>
    <n v="124"/>
    <n v="124"/>
    <m/>
    <m/>
    <m/>
    <m/>
    <m/>
    <m/>
    <m/>
    <m/>
    <m/>
    <m/>
    <m/>
    <x v="0"/>
    <m/>
    <m/>
    <m/>
  </r>
  <r>
    <n v="125"/>
    <n v="125"/>
    <m/>
    <m/>
    <m/>
    <m/>
    <m/>
    <m/>
    <m/>
    <m/>
    <m/>
    <m/>
    <m/>
    <x v="0"/>
    <m/>
    <m/>
    <m/>
  </r>
  <r>
    <n v="126"/>
    <n v="126"/>
    <m/>
    <m/>
    <m/>
    <m/>
    <m/>
    <m/>
    <m/>
    <m/>
    <m/>
    <m/>
    <m/>
    <x v="0"/>
    <m/>
    <m/>
    <m/>
  </r>
  <r>
    <n v="127"/>
    <n v="127"/>
    <m/>
    <m/>
    <m/>
    <m/>
    <m/>
    <m/>
    <m/>
    <m/>
    <m/>
    <m/>
    <m/>
    <x v="0"/>
    <m/>
    <m/>
    <m/>
  </r>
  <r>
    <n v="128"/>
    <n v="128"/>
    <m/>
    <m/>
    <m/>
    <m/>
    <m/>
    <m/>
    <m/>
    <m/>
    <m/>
    <m/>
    <m/>
    <x v="0"/>
    <m/>
    <m/>
    <m/>
  </r>
  <r>
    <n v="129"/>
    <n v="129"/>
    <m/>
    <m/>
    <m/>
    <m/>
    <m/>
    <m/>
    <m/>
    <m/>
    <m/>
    <m/>
    <m/>
    <x v="0"/>
    <m/>
    <m/>
    <m/>
  </r>
  <r>
    <n v="130"/>
    <n v="130"/>
    <m/>
    <m/>
    <m/>
    <m/>
    <m/>
    <m/>
    <m/>
    <m/>
    <m/>
    <m/>
    <m/>
    <x v="0"/>
    <m/>
    <m/>
    <m/>
  </r>
  <r>
    <n v="131"/>
    <n v="131"/>
    <m/>
    <m/>
    <m/>
    <m/>
    <m/>
    <m/>
    <m/>
    <m/>
    <m/>
    <m/>
    <m/>
    <x v="0"/>
    <m/>
    <m/>
    <m/>
  </r>
  <r>
    <n v="132"/>
    <n v="132"/>
    <m/>
    <m/>
    <m/>
    <m/>
    <m/>
    <m/>
    <m/>
    <m/>
    <m/>
    <m/>
    <m/>
    <x v="0"/>
    <m/>
    <m/>
    <m/>
  </r>
  <r>
    <n v="133"/>
    <n v="133"/>
    <m/>
    <m/>
    <m/>
    <m/>
    <m/>
    <m/>
    <m/>
    <m/>
    <m/>
    <m/>
    <m/>
    <x v="0"/>
    <m/>
    <m/>
    <m/>
  </r>
  <r>
    <n v="134"/>
    <n v="134"/>
    <m/>
    <m/>
    <m/>
    <m/>
    <m/>
    <m/>
    <m/>
    <m/>
    <m/>
    <m/>
    <m/>
    <x v="0"/>
    <m/>
    <m/>
    <m/>
  </r>
  <r>
    <n v="135"/>
    <n v="135"/>
    <m/>
    <m/>
    <m/>
    <m/>
    <m/>
    <m/>
    <m/>
    <m/>
    <m/>
    <m/>
    <m/>
    <x v="0"/>
    <m/>
    <m/>
    <m/>
  </r>
  <r>
    <n v="136"/>
    <n v="136"/>
    <m/>
    <m/>
    <m/>
    <m/>
    <m/>
    <m/>
    <m/>
    <m/>
    <m/>
    <m/>
    <m/>
    <x v="0"/>
    <m/>
    <m/>
    <m/>
  </r>
  <r>
    <n v="137"/>
    <n v="137"/>
    <m/>
    <m/>
    <m/>
    <m/>
    <m/>
    <m/>
    <m/>
    <m/>
    <m/>
    <m/>
    <m/>
    <x v="0"/>
    <m/>
    <m/>
    <m/>
  </r>
  <r>
    <n v="138"/>
    <n v="138"/>
    <m/>
    <m/>
    <m/>
    <m/>
    <m/>
    <m/>
    <m/>
    <m/>
    <m/>
    <m/>
    <m/>
    <x v="0"/>
    <m/>
    <m/>
    <m/>
  </r>
  <r>
    <n v="139"/>
    <n v="139"/>
    <m/>
    <m/>
    <m/>
    <m/>
    <m/>
    <m/>
    <m/>
    <m/>
    <m/>
    <m/>
    <m/>
    <x v="0"/>
    <m/>
    <m/>
    <m/>
  </r>
  <r>
    <n v="140"/>
    <n v="140"/>
    <m/>
    <m/>
    <m/>
    <m/>
    <m/>
    <m/>
    <m/>
    <m/>
    <m/>
    <m/>
    <m/>
    <x v="0"/>
    <m/>
    <m/>
    <m/>
  </r>
  <r>
    <n v="141"/>
    <n v="141"/>
    <m/>
    <m/>
    <m/>
    <m/>
    <m/>
    <m/>
    <m/>
    <m/>
    <m/>
    <m/>
    <m/>
    <x v="0"/>
    <m/>
    <m/>
    <m/>
  </r>
  <r>
    <n v="142"/>
    <n v="142"/>
    <m/>
    <m/>
    <m/>
    <m/>
    <m/>
    <m/>
    <m/>
    <m/>
    <m/>
    <m/>
    <m/>
    <x v="0"/>
    <m/>
    <m/>
    <m/>
  </r>
  <r>
    <n v="143"/>
    <n v="143"/>
    <m/>
    <m/>
    <m/>
    <m/>
    <m/>
    <m/>
    <m/>
    <m/>
    <m/>
    <m/>
    <m/>
    <x v="0"/>
    <m/>
    <m/>
    <m/>
  </r>
  <r>
    <n v="144"/>
    <n v="144"/>
    <m/>
    <m/>
    <m/>
    <m/>
    <m/>
    <m/>
    <m/>
    <m/>
    <m/>
    <m/>
    <m/>
    <x v="0"/>
    <m/>
    <m/>
    <m/>
  </r>
  <r>
    <n v="145"/>
    <n v="145"/>
    <m/>
    <m/>
    <m/>
    <m/>
    <m/>
    <m/>
    <m/>
    <m/>
    <m/>
    <m/>
    <m/>
    <x v="0"/>
    <m/>
    <m/>
    <m/>
  </r>
  <r>
    <n v="146"/>
    <n v="146"/>
    <m/>
    <m/>
    <m/>
    <m/>
    <m/>
    <m/>
    <m/>
    <m/>
    <m/>
    <m/>
    <m/>
    <x v="0"/>
    <m/>
    <m/>
    <m/>
  </r>
  <r>
    <n v="147"/>
    <n v="147"/>
    <m/>
    <m/>
    <m/>
    <m/>
    <m/>
    <m/>
    <m/>
    <m/>
    <m/>
    <m/>
    <m/>
    <x v="0"/>
    <m/>
    <m/>
    <m/>
  </r>
  <r>
    <n v="148"/>
    <n v="148"/>
    <m/>
    <m/>
    <m/>
    <m/>
    <m/>
    <m/>
    <m/>
    <m/>
    <m/>
    <m/>
    <m/>
    <x v="0"/>
    <m/>
    <m/>
    <m/>
  </r>
  <r>
    <n v="149"/>
    <n v="149"/>
    <m/>
    <m/>
    <m/>
    <m/>
    <m/>
    <m/>
    <m/>
    <m/>
    <m/>
    <m/>
    <m/>
    <x v="0"/>
    <m/>
    <m/>
    <m/>
  </r>
  <r>
    <n v="150"/>
    <n v="150"/>
    <m/>
    <m/>
    <m/>
    <m/>
    <m/>
    <m/>
    <m/>
    <m/>
    <m/>
    <m/>
    <m/>
    <x v="0"/>
    <m/>
    <m/>
    <m/>
  </r>
  <r>
    <n v="151"/>
    <n v="151"/>
    <m/>
    <m/>
    <m/>
    <m/>
    <m/>
    <m/>
    <m/>
    <m/>
    <m/>
    <m/>
    <m/>
    <x v="0"/>
    <m/>
    <m/>
    <m/>
  </r>
  <r>
    <n v="152"/>
    <n v="152"/>
    <m/>
    <m/>
    <m/>
    <m/>
    <m/>
    <m/>
    <m/>
    <m/>
    <m/>
    <m/>
    <m/>
    <x v="0"/>
    <m/>
    <m/>
    <m/>
  </r>
  <r>
    <n v="153"/>
    <n v="153"/>
    <m/>
    <m/>
    <m/>
    <m/>
    <m/>
    <m/>
    <m/>
    <m/>
    <m/>
    <m/>
    <m/>
    <x v="0"/>
    <m/>
    <m/>
    <m/>
  </r>
  <r>
    <n v="154"/>
    <n v="154"/>
    <m/>
    <m/>
    <m/>
    <m/>
    <m/>
    <m/>
    <m/>
    <m/>
    <m/>
    <m/>
    <m/>
    <x v="0"/>
    <m/>
    <m/>
    <m/>
  </r>
  <r>
    <n v="155"/>
    <n v="155"/>
    <m/>
    <m/>
    <m/>
    <m/>
    <m/>
    <m/>
    <m/>
    <m/>
    <m/>
    <m/>
    <m/>
    <x v="0"/>
    <m/>
    <m/>
    <m/>
  </r>
  <r>
    <n v="156"/>
    <n v="156"/>
    <m/>
    <m/>
    <m/>
    <m/>
    <m/>
    <m/>
    <m/>
    <m/>
    <m/>
    <m/>
    <m/>
    <x v="0"/>
    <m/>
    <m/>
    <m/>
  </r>
  <r>
    <n v="157"/>
    <n v="157"/>
    <m/>
    <m/>
    <m/>
    <m/>
    <m/>
    <m/>
    <m/>
    <m/>
    <m/>
    <m/>
    <m/>
    <x v="0"/>
    <m/>
    <m/>
    <m/>
  </r>
  <r>
    <n v="158"/>
    <n v="158"/>
    <m/>
    <m/>
    <m/>
    <m/>
    <m/>
    <m/>
    <m/>
    <m/>
    <m/>
    <m/>
    <m/>
    <x v="0"/>
    <m/>
    <m/>
    <m/>
  </r>
  <r>
    <n v="159"/>
    <n v="159"/>
    <m/>
    <m/>
    <m/>
    <m/>
    <m/>
    <m/>
    <m/>
    <m/>
    <m/>
    <m/>
    <m/>
    <x v="0"/>
    <m/>
    <m/>
    <m/>
  </r>
  <r>
    <n v="160"/>
    <n v="160"/>
    <m/>
    <m/>
    <m/>
    <m/>
    <m/>
    <m/>
    <m/>
    <m/>
    <m/>
    <m/>
    <m/>
    <x v="0"/>
    <m/>
    <m/>
    <m/>
  </r>
  <r>
    <n v="161"/>
    <n v="161"/>
    <m/>
    <m/>
    <m/>
    <m/>
    <m/>
    <m/>
    <m/>
    <m/>
    <m/>
    <m/>
    <m/>
    <x v="0"/>
    <m/>
    <m/>
    <m/>
  </r>
  <r>
    <n v="162"/>
    <n v="162"/>
    <m/>
    <m/>
    <m/>
    <m/>
    <m/>
    <m/>
    <m/>
    <m/>
    <m/>
    <m/>
    <m/>
    <x v="0"/>
    <m/>
    <m/>
    <m/>
  </r>
  <r>
    <n v="163"/>
    <n v="163"/>
    <m/>
    <m/>
    <m/>
    <m/>
    <m/>
    <m/>
    <m/>
    <m/>
    <m/>
    <m/>
    <m/>
    <x v="0"/>
    <m/>
    <m/>
    <m/>
  </r>
  <r>
    <n v="164"/>
    <n v="164"/>
    <m/>
    <m/>
    <m/>
    <m/>
    <m/>
    <m/>
    <m/>
    <m/>
    <m/>
    <m/>
    <m/>
    <x v="0"/>
    <m/>
    <m/>
    <m/>
  </r>
  <r>
    <n v="165"/>
    <n v="165"/>
    <m/>
    <m/>
    <m/>
    <m/>
    <m/>
    <m/>
    <m/>
    <m/>
    <m/>
    <m/>
    <m/>
    <x v="0"/>
    <m/>
    <m/>
    <m/>
  </r>
  <r>
    <n v="166"/>
    <n v="166"/>
    <m/>
    <m/>
    <m/>
    <m/>
    <m/>
    <m/>
    <m/>
    <m/>
    <m/>
    <m/>
    <m/>
    <x v="0"/>
    <m/>
    <m/>
    <m/>
  </r>
  <r>
    <n v="167"/>
    <n v="167"/>
    <m/>
    <m/>
    <m/>
    <m/>
    <m/>
    <m/>
    <m/>
    <m/>
    <m/>
    <m/>
    <m/>
    <x v="0"/>
    <m/>
    <m/>
    <m/>
  </r>
  <r>
    <n v="168"/>
    <n v="168"/>
    <m/>
    <m/>
    <m/>
    <m/>
    <m/>
    <m/>
    <m/>
    <m/>
    <m/>
    <m/>
    <m/>
    <x v="0"/>
    <m/>
    <m/>
    <m/>
  </r>
  <r>
    <n v="169"/>
    <n v="169"/>
    <m/>
    <m/>
    <m/>
    <m/>
    <m/>
    <m/>
    <m/>
    <m/>
    <m/>
    <m/>
    <m/>
    <x v="0"/>
    <m/>
    <m/>
    <m/>
  </r>
  <r>
    <n v="170"/>
    <n v="170"/>
    <m/>
    <m/>
    <m/>
    <m/>
    <m/>
    <m/>
    <m/>
    <m/>
    <m/>
    <m/>
    <m/>
    <x v="0"/>
    <m/>
    <m/>
    <m/>
  </r>
  <r>
    <n v="171"/>
    <n v="171"/>
    <m/>
    <m/>
    <m/>
    <m/>
    <m/>
    <m/>
    <m/>
    <m/>
    <m/>
    <m/>
    <m/>
    <x v="0"/>
    <m/>
    <m/>
    <m/>
  </r>
  <r>
    <n v="172"/>
    <n v="172"/>
    <m/>
    <m/>
    <m/>
    <m/>
    <m/>
    <m/>
    <m/>
    <m/>
    <m/>
    <m/>
    <m/>
    <x v="0"/>
    <m/>
    <m/>
    <m/>
  </r>
  <r>
    <n v="173"/>
    <n v="173"/>
    <m/>
    <m/>
    <m/>
    <m/>
    <m/>
    <m/>
    <m/>
    <m/>
    <m/>
    <m/>
    <m/>
    <x v="0"/>
    <m/>
    <m/>
    <m/>
  </r>
  <r>
    <n v="174"/>
    <n v="174"/>
    <m/>
    <m/>
    <m/>
    <m/>
    <m/>
    <m/>
    <m/>
    <m/>
    <m/>
    <m/>
    <m/>
    <x v="0"/>
    <m/>
    <m/>
    <m/>
  </r>
  <r>
    <n v="175"/>
    <n v="175"/>
    <m/>
    <m/>
    <m/>
    <m/>
    <m/>
    <m/>
    <m/>
    <m/>
    <m/>
    <m/>
    <m/>
    <x v="0"/>
    <m/>
    <m/>
    <m/>
  </r>
  <r>
    <n v="176"/>
    <n v="176"/>
    <m/>
    <m/>
    <m/>
    <m/>
    <m/>
    <m/>
    <m/>
    <m/>
    <m/>
    <m/>
    <m/>
    <x v="0"/>
    <m/>
    <m/>
    <m/>
  </r>
  <r>
    <n v="177"/>
    <n v="177"/>
    <m/>
    <m/>
    <m/>
    <m/>
    <m/>
    <m/>
    <m/>
    <m/>
    <m/>
    <m/>
    <m/>
    <x v="0"/>
    <m/>
    <m/>
    <m/>
  </r>
  <r>
    <n v="178"/>
    <n v="178"/>
    <m/>
    <m/>
    <m/>
    <m/>
    <m/>
    <m/>
    <m/>
    <m/>
    <m/>
    <m/>
    <m/>
    <x v="0"/>
    <m/>
    <m/>
    <m/>
  </r>
  <r>
    <n v="179"/>
    <n v="179"/>
    <m/>
    <m/>
    <m/>
    <m/>
    <m/>
    <m/>
    <m/>
    <m/>
    <m/>
    <m/>
    <m/>
    <x v="0"/>
    <m/>
    <m/>
    <m/>
  </r>
  <r>
    <n v="180"/>
    <n v="180"/>
    <m/>
    <m/>
    <m/>
    <m/>
    <m/>
    <m/>
    <m/>
    <m/>
    <m/>
    <m/>
    <m/>
    <x v="0"/>
    <m/>
    <m/>
    <m/>
  </r>
  <r>
    <n v="181"/>
    <n v="181"/>
    <m/>
    <m/>
    <m/>
    <m/>
    <m/>
    <m/>
    <m/>
    <m/>
    <m/>
    <m/>
    <m/>
    <x v="0"/>
    <m/>
    <m/>
    <m/>
  </r>
  <r>
    <n v="182"/>
    <n v="182"/>
    <m/>
    <m/>
    <m/>
    <m/>
    <m/>
    <m/>
    <m/>
    <m/>
    <m/>
    <m/>
    <m/>
    <x v="0"/>
    <m/>
    <m/>
    <m/>
  </r>
  <r>
    <n v="183"/>
    <n v="183"/>
    <m/>
    <m/>
    <m/>
    <m/>
    <m/>
    <m/>
    <m/>
    <m/>
    <m/>
    <m/>
    <m/>
    <x v="0"/>
    <m/>
    <m/>
    <m/>
  </r>
  <r>
    <n v="184"/>
    <n v="184"/>
    <m/>
    <m/>
    <m/>
    <m/>
    <m/>
    <m/>
    <m/>
    <m/>
    <m/>
    <m/>
    <m/>
    <x v="0"/>
    <m/>
    <m/>
    <m/>
  </r>
  <r>
    <n v="185"/>
    <n v="185"/>
    <m/>
    <m/>
    <m/>
    <m/>
    <m/>
    <m/>
    <m/>
    <m/>
    <m/>
    <m/>
    <m/>
    <x v="0"/>
    <m/>
    <m/>
    <m/>
  </r>
  <r>
    <n v="186"/>
    <n v="186"/>
    <m/>
    <m/>
    <m/>
    <m/>
    <m/>
    <m/>
    <m/>
    <m/>
    <m/>
    <m/>
    <m/>
    <x v="0"/>
    <m/>
    <m/>
    <m/>
  </r>
  <r>
    <n v="187"/>
    <n v="187"/>
    <m/>
    <m/>
    <m/>
    <m/>
    <m/>
    <m/>
    <m/>
    <m/>
    <m/>
    <m/>
    <m/>
    <x v="0"/>
    <m/>
    <m/>
    <m/>
  </r>
  <r>
    <n v="188"/>
    <n v="188"/>
    <m/>
    <m/>
    <m/>
    <m/>
    <m/>
    <m/>
    <m/>
    <m/>
    <m/>
    <m/>
    <m/>
    <x v="0"/>
    <m/>
    <m/>
    <m/>
  </r>
  <r>
    <n v="189"/>
    <n v="189"/>
    <m/>
    <m/>
    <m/>
    <m/>
    <m/>
    <m/>
    <m/>
    <m/>
    <m/>
    <m/>
    <m/>
    <x v="0"/>
    <m/>
    <m/>
    <m/>
  </r>
  <r>
    <n v="190"/>
    <n v="190"/>
    <m/>
    <m/>
    <m/>
    <m/>
    <m/>
    <m/>
    <m/>
    <m/>
    <m/>
    <m/>
    <m/>
    <x v="0"/>
    <m/>
    <m/>
    <m/>
  </r>
  <r>
    <n v="191"/>
    <n v="191"/>
    <m/>
    <m/>
    <m/>
    <m/>
    <m/>
    <m/>
    <m/>
    <m/>
    <m/>
    <m/>
    <m/>
    <x v="0"/>
    <m/>
    <m/>
    <m/>
  </r>
  <r>
    <n v="192"/>
    <n v="192"/>
    <m/>
    <m/>
    <m/>
    <m/>
    <m/>
    <m/>
    <m/>
    <m/>
    <m/>
    <m/>
    <m/>
    <x v="0"/>
    <m/>
    <m/>
    <m/>
  </r>
  <r>
    <n v="193"/>
    <n v="193"/>
    <m/>
    <m/>
    <m/>
    <m/>
    <m/>
    <m/>
    <m/>
    <m/>
    <m/>
    <m/>
    <m/>
    <x v="0"/>
    <m/>
    <m/>
    <m/>
  </r>
  <r>
    <n v="194"/>
    <n v="194"/>
    <m/>
    <m/>
    <m/>
    <m/>
    <m/>
    <m/>
    <m/>
    <m/>
    <m/>
    <m/>
    <m/>
    <x v="0"/>
    <m/>
    <m/>
    <m/>
  </r>
  <r>
    <n v="195"/>
    <n v="195"/>
    <m/>
    <m/>
    <m/>
    <m/>
    <m/>
    <m/>
    <m/>
    <m/>
    <m/>
    <m/>
    <m/>
    <x v="0"/>
    <m/>
    <m/>
    <m/>
  </r>
  <r>
    <n v="196"/>
    <n v="196"/>
    <m/>
    <m/>
    <m/>
    <m/>
    <m/>
    <m/>
    <m/>
    <m/>
    <m/>
    <m/>
    <m/>
    <x v="0"/>
    <m/>
    <m/>
    <m/>
  </r>
  <r>
    <n v="197"/>
    <n v="197"/>
    <m/>
    <m/>
    <m/>
    <m/>
    <m/>
    <m/>
    <m/>
    <m/>
    <m/>
    <m/>
    <m/>
    <x v="0"/>
    <m/>
    <m/>
    <m/>
  </r>
  <r>
    <n v="198"/>
    <n v="198"/>
    <m/>
    <m/>
    <m/>
    <m/>
    <m/>
    <m/>
    <m/>
    <m/>
    <m/>
    <m/>
    <m/>
    <x v="0"/>
    <m/>
    <m/>
    <m/>
  </r>
  <r>
    <n v="199"/>
    <n v="199"/>
    <m/>
    <m/>
    <m/>
    <m/>
    <m/>
    <m/>
    <m/>
    <m/>
    <m/>
    <m/>
    <m/>
    <x v="0"/>
    <m/>
    <m/>
    <m/>
  </r>
  <r>
    <n v="200"/>
    <n v="200"/>
    <m/>
    <m/>
    <m/>
    <m/>
    <m/>
    <m/>
    <m/>
    <m/>
    <m/>
    <m/>
    <m/>
    <x v="0"/>
    <m/>
    <m/>
    <m/>
  </r>
  <r>
    <n v="201"/>
    <n v="201"/>
    <m/>
    <m/>
    <m/>
    <m/>
    <m/>
    <m/>
    <m/>
    <m/>
    <m/>
    <m/>
    <m/>
    <x v="0"/>
    <m/>
    <m/>
    <m/>
  </r>
  <r>
    <n v="202"/>
    <n v="202"/>
    <m/>
    <m/>
    <m/>
    <m/>
    <m/>
    <m/>
    <m/>
    <m/>
    <m/>
    <m/>
    <m/>
    <x v="0"/>
    <m/>
    <m/>
    <m/>
  </r>
  <r>
    <n v="203"/>
    <n v="203"/>
    <m/>
    <m/>
    <m/>
    <m/>
    <m/>
    <m/>
    <m/>
    <m/>
    <m/>
    <m/>
    <m/>
    <x v="0"/>
    <m/>
    <m/>
    <m/>
  </r>
  <r>
    <n v="204"/>
    <n v="204"/>
    <m/>
    <m/>
    <m/>
    <m/>
    <m/>
    <m/>
    <m/>
    <m/>
    <m/>
    <m/>
    <m/>
    <x v="0"/>
    <m/>
    <m/>
    <m/>
  </r>
  <r>
    <n v="205"/>
    <n v="205"/>
    <m/>
    <m/>
    <m/>
    <m/>
    <m/>
    <m/>
    <m/>
    <m/>
    <m/>
    <m/>
    <m/>
    <x v="0"/>
    <m/>
    <m/>
    <m/>
  </r>
  <r>
    <n v="206"/>
    <m/>
    <m/>
    <m/>
    <m/>
    <m/>
    <m/>
    <m/>
    <m/>
    <m/>
    <m/>
    <m/>
    <m/>
    <x v="0"/>
    <m/>
    <m/>
    <m/>
  </r>
  <r>
    <n v="207"/>
    <m/>
    <m/>
    <m/>
    <m/>
    <m/>
    <m/>
    <m/>
    <m/>
    <m/>
    <m/>
    <m/>
    <m/>
    <x v="0"/>
    <m/>
    <m/>
    <m/>
  </r>
  <r>
    <n v="208"/>
    <m/>
    <m/>
    <m/>
    <m/>
    <m/>
    <m/>
    <m/>
    <m/>
    <m/>
    <m/>
    <m/>
    <m/>
    <x v="0"/>
    <m/>
    <m/>
    <m/>
  </r>
  <r>
    <n v="209"/>
    <m/>
    <m/>
    <m/>
    <m/>
    <m/>
    <m/>
    <m/>
    <m/>
    <m/>
    <m/>
    <m/>
    <m/>
    <x v="0"/>
    <m/>
    <m/>
    <m/>
  </r>
  <r>
    <n v="210"/>
    <m/>
    <m/>
    <m/>
    <m/>
    <m/>
    <m/>
    <m/>
    <m/>
    <m/>
    <m/>
    <m/>
    <m/>
    <x v="0"/>
    <m/>
    <m/>
    <m/>
  </r>
  <r>
    <n v="211"/>
    <m/>
    <m/>
    <m/>
    <m/>
    <m/>
    <m/>
    <m/>
    <m/>
    <m/>
    <m/>
    <m/>
    <m/>
    <x v="0"/>
    <m/>
    <m/>
    <m/>
  </r>
  <r>
    <n v="212"/>
    <m/>
    <m/>
    <m/>
    <m/>
    <m/>
    <m/>
    <m/>
    <m/>
    <m/>
    <m/>
    <m/>
    <m/>
    <x v="0"/>
    <m/>
    <m/>
    <m/>
  </r>
  <r>
    <n v="213"/>
    <m/>
    <m/>
    <m/>
    <m/>
    <m/>
    <m/>
    <m/>
    <m/>
    <m/>
    <m/>
    <m/>
    <m/>
    <x v="0"/>
    <m/>
    <m/>
    <m/>
  </r>
  <r>
    <n v="214"/>
    <m/>
    <m/>
    <m/>
    <m/>
    <m/>
    <m/>
    <m/>
    <m/>
    <m/>
    <m/>
    <m/>
    <m/>
    <x v="0"/>
    <m/>
    <m/>
    <m/>
  </r>
  <r>
    <n v="215"/>
    <m/>
    <m/>
    <m/>
    <m/>
    <m/>
    <m/>
    <m/>
    <m/>
    <m/>
    <m/>
    <m/>
    <m/>
    <x v="0"/>
    <m/>
    <m/>
    <m/>
  </r>
  <r>
    <n v="216"/>
    <m/>
    <m/>
    <m/>
    <m/>
    <m/>
    <m/>
    <m/>
    <m/>
    <m/>
    <m/>
    <m/>
    <m/>
    <x v="0"/>
    <m/>
    <m/>
    <m/>
  </r>
  <r>
    <n v="217"/>
    <m/>
    <m/>
    <m/>
    <m/>
    <m/>
    <m/>
    <m/>
    <m/>
    <m/>
    <m/>
    <m/>
    <m/>
    <x v="0"/>
    <m/>
    <m/>
    <m/>
  </r>
  <r>
    <n v="218"/>
    <m/>
    <m/>
    <m/>
    <m/>
    <m/>
    <m/>
    <m/>
    <m/>
    <m/>
    <m/>
    <m/>
    <m/>
    <x v="0"/>
    <m/>
    <m/>
    <m/>
  </r>
  <r>
    <n v="219"/>
    <m/>
    <m/>
    <m/>
    <m/>
    <m/>
    <m/>
    <m/>
    <m/>
    <m/>
    <m/>
    <m/>
    <m/>
    <x v="0"/>
    <m/>
    <m/>
    <m/>
  </r>
  <r>
    <n v="220"/>
    <m/>
    <m/>
    <m/>
    <m/>
    <m/>
    <m/>
    <m/>
    <m/>
    <m/>
    <m/>
    <m/>
    <m/>
    <x v="0"/>
    <m/>
    <m/>
    <m/>
  </r>
  <r>
    <n v="221"/>
    <m/>
    <m/>
    <m/>
    <m/>
    <m/>
    <m/>
    <m/>
    <m/>
    <m/>
    <m/>
    <m/>
    <m/>
    <x v="0"/>
    <m/>
    <m/>
    <m/>
  </r>
  <r>
    <n v="222"/>
    <m/>
    <m/>
    <m/>
    <m/>
    <m/>
    <m/>
    <m/>
    <m/>
    <m/>
    <m/>
    <m/>
    <m/>
    <x v="0"/>
    <m/>
    <m/>
    <m/>
  </r>
  <r>
    <n v="223"/>
    <m/>
    <m/>
    <m/>
    <m/>
    <m/>
    <m/>
    <m/>
    <m/>
    <m/>
    <m/>
    <m/>
    <m/>
    <x v="0"/>
    <m/>
    <m/>
    <m/>
  </r>
  <r>
    <n v="224"/>
    <m/>
    <m/>
    <m/>
    <m/>
    <m/>
    <m/>
    <m/>
    <m/>
    <m/>
    <m/>
    <m/>
    <m/>
    <x v="0"/>
    <m/>
    <m/>
    <m/>
  </r>
  <r>
    <n v="225"/>
    <m/>
    <m/>
    <m/>
    <m/>
    <m/>
    <m/>
    <m/>
    <m/>
    <m/>
    <m/>
    <m/>
    <m/>
    <x v="0"/>
    <m/>
    <m/>
    <m/>
  </r>
  <r>
    <n v="226"/>
    <m/>
    <m/>
    <m/>
    <m/>
    <m/>
    <m/>
    <m/>
    <m/>
    <m/>
    <m/>
    <m/>
    <m/>
    <x v="0"/>
    <m/>
    <m/>
    <m/>
  </r>
  <r>
    <n v="227"/>
    <m/>
    <m/>
    <m/>
    <m/>
    <m/>
    <m/>
    <m/>
    <m/>
    <m/>
    <m/>
    <m/>
    <m/>
    <x v="0"/>
    <m/>
    <m/>
    <m/>
  </r>
  <r>
    <n v="228"/>
    <m/>
    <m/>
    <m/>
    <m/>
    <m/>
    <m/>
    <m/>
    <m/>
    <m/>
    <m/>
    <m/>
    <m/>
    <x v="0"/>
    <m/>
    <m/>
    <m/>
  </r>
  <r>
    <n v="229"/>
    <m/>
    <m/>
    <m/>
    <m/>
    <m/>
    <m/>
    <m/>
    <m/>
    <m/>
    <m/>
    <m/>
    <m/>
    <x v="0"/>
    <m/>
    <m/>
    <m/>
  </r>
  <r>
    <n v="230"/>
    <m/>
    <m/>
    <m/>
    <m/>
    <m/>
    <m/>
    <m/>
    <m/>
    <m/>
    <m/>
    <m/>
    <m/>
    <x v="0"/>
    <m/>
    <m/>
    <m/>
  </r>
  <r>
    <n v="231"/>
    <m/>
    <m/>
    <m/>
    <m/>
    <m/>
    <m/>
    <m/>
    <m/>
    <m/>
    <m/>
    <m/>
    <m/>
    <x v="0"/>
    <m/>
    <m/>
    <m/>
  </r>
  <r>
    <n v="232"/>
    <m/>
    <m/>
    <m/>
    <m/>
    <m/>
    <m/>
    <m/>
    <m/>
    <m/>
    <m/>
    <m/>
    <m/>
    <x v="0"/>
    <m/>
    <m/>
    <m/>
  </r>
  <r>
    <n v="233"/>
    <m/>
    <m/>
    <m/>
    <m/>
    <m/>
    <m/>
    <m/>
    <m/>
    <m/>
    <m/>
    <m/>
    <m/>
    <x v="0"/>
    <m/>
    <m/>
    <m/>
  </r>
  <r>
    <n v="234"/>
    <m/>
    <m/>
    <m/>
    <m/>
    <m/>
    <m/>
    <m/>
    <m/>
    <m/>
    <m/>
    <m/>
    <m/>
    <x v="0"/>
    <m/>
    <m/>
    <m/>
  </r>
  <r>
    <n v="235"/>
    <m/>
    <m/>
    <m/>
    <m/>
    <m/>
    <m/>
    <m/>
    <m/>
    <m/>
    <m/>
    <m/>
    <m/>
    <x v="0"/>
    <m/>
    <m/>
    <m/>
  </r>
  <r>
    <n v="236"/>
    <m/>
    <m/>
    <m/>
    <m/>
    <m/>
    <m/>
    <m/>
    <m/>
    <m/>
    <m/>
    <m/>
    <m/>
    <x v="0"/>
    <m/>
    <m/>
    <m/>
  </r>
  <r>
    <n v="237"/>
    <m/>
    <m/>
    <m/>
    <m/>
    <m/>
    <m/>
    <m/>
    <m/>
    <m/>
    <m/>
    <m/>
    <m/>
    <x v="0"/>
    <m/>
    <m/>
    <m/>
  </r>
  <r>
    <n v="238"/>
    <m/>
    <m/>
    <m/>
    <m/>
    <m/>
    <m/>
    <m/>
    <m/>
    <m/>
    <m/>
    <m/>
    <m/>
    <x v="0"/>
    <m/>
    <m/>
    <m/>
  </r>
  <r>
    <n v="239"/>
    <m/>
    <m/>
    <m/>
    <m/>
    <m/>
    <m/>
    <m/>
    <m/>
    <m/>
    <m/>
    <m/>
    <m/>
    <x v="0"/>
    <m/>
    <m/>
    <m/>
  </r>
  <r>
    <n v="240"/>
    <m/>
    <m/>
    <m/>
    <m/>
    <m/>
    <m/>
    <m/>
    <m/>
    <m/>
    <m/>
    <m/>
    <m/>
    <x v="0"/>
    <m/>
    <m/>
    <m/>
  </r>
  <r>
    <n v="241"/>
    <m/>
    <m/>
    <m/>
    <m/>
    <m/>
    <m/>
    <m/>
    <m/>
    <m/>
    <m/>
    <m/>
    <m/>
    <x v="0"/>
    <m/>
    <m/>
    <m/>
  </r>
  <r>
    <n v="242"/>
    <m/>
    <m/>
    <m/>
    <m/>
    <m/>
    <m/>
    <m/>
    <m/>
    <m/>
    <m/>
    <m/>
    <m/>
    <x v="0"/>
    <m/>
    <m/>
    <m/>
  </r>
  <r>
    <n v="243"/>
    <m/>
    <m/>
    <m/>
    <m/>
    <m/>
    <m/>
    <m/>
    <m/>
    <m/>
    <m/>
    <m/>
    <m/>
    <x v="0"/>
    <m/>
    <m/>
    <m/>
  </r>
  <r>
    <n v="244"/>
    <m/>
    <m/>
    <m/>
    <m/>
    <m/>
    <m/>
    <m/>
    <m/>
    <m/>
    <m/>
    <m/>
    <m/>
    <x v="0"/>
    <m/>
    <m/>
    <m/>
  </r>
  <r>
    <n v="245"/>
    <m/>
    <m/>
    <m/>
    <m/>
    <m/>
    <m/>
    <m/>
    <m/>
    <m/>
    <m/>
    <m/>
    <m/>
    <x v="0"/>
    <m/>
    <m/>
    <m/>
  </r>
  <r>
    <n v="246"/>
    <m/>
    <m/>
    <m/>
    <m/>
    <m/>
    <m/>
    <m/>
    <m/>
    <m/>
    <m/>
    <m/>
    <m/>
    <x v="0"/>
    <m/>
    <m/>
    <m/>
  </r>
  <r>
    <n v="247"/>
    <m/>
    <m/>
    <m/>
    <m/>
    <m/>
    <m/>
    <m/>
    <m/>
    <m/>
    <m/>
    <m/>
    <m/>
    <x v="0"/>
    <m/>
    <m/>
    <m/>
  </r>
  <r>
    <n v="248"/>
    <m/>
    <m/>
    <m/>
    <m/>
    <m/>
    <m/>
    <m/>
    <m/>
    <m/>
    <m/>
    <m/>
    <m/>
    <x v="0"/>
    <m/>
    <m/>
    <m/>
  </r>
  <r>
    <n v="249"/>
    <m/>
    <m/>
    <m/>
    <m/>
    <m/>
    <m/>
    <m/>
    <m/>
    <m/>
    <m/>
    <m/>
    <m/>
    <x v="0"/>
    <m/>
    <m/>
    <m/>
  </r>
  <r>
    <n v="250"/>
    <m/>
    <m/>
    <m/>
    <m/>
    <m/>
    <m/>
    <m/>
    <m/>
    <m/>
    <m/>
    <m/>
    <m/>
    <x v="0"/>
    <m/>
    <m/>
    <m/>
  </r>
  <r>
    <n v="251"/>
    <m/>
    <m/>
    <m/>
    <m/>
    <m/>
    <m/>
    <m/>
    <m/>
    <m/>
    <m/>
    <m/>
    <m/>
    <x v="0"/>
    <m/>
    <m/>
    <m/>
  </r>
  <r>
    <n v="252"/>
    <m/>
    <m/>
    <m/>
    <m/>
    <m/>
    <m/>
    <m/>
    <m/>
    <m/>
    <m/>
    <m/>
    <m/>
    <x v="0"/>
    <m/>
    <m/>
    <m/>
  </r>
  <r>
    <n v="253"/>
    <m/>
    <m/>
    <m/>
    <m/>
    <m/>
    <m/>
    <m/>
    <m/>
    <m/>
    <m/>
    <m/>
    <m/>
    <x v="0"/>
    <m/>
    <m/>
    <m/>
  </r>
  <r>
    <n v="254"/>
    <m/>
    <m/>
    <m/>
    <m/>
    <m/>
    <m/>
    <m/>
    <m/>
    <m/>
    <m/>
    <m/>
    <m/>
    <x v="0"/>
    <m/>
    <m/>
    <m/>
  </r>
  <r>
    <n v="255"/>
    <m/>
    <m/>
    <m/>
    <m/>
    <m/>
    <m/>
    <m/>
    <m/>
    <m/>
    <m/>
    <m/>
    <m/>
    <x v="0"/>
    <m/>
    <m/>
    <m/>
  </r>
  <r>
    <n v="256"/>
    <m/>
    <m/>
    <m/>
    <m/>
    <m/>
    <m/>
    <m/>
    <m/>
    <m/>
    <m/>
    <m/>
    <m/>
    <x v="0"/>
    <m/>
    <m/>
    <m/>
  </r>
  <r>
    <n v="257"/>
    <m/>
    <m/>
    <m/>
    <m/>
    <m/>
    <m/>
    <m/>
    <m/>
    <m/>
    <m/>
    <m/>
    <m/>
    <x v="0"/>
    <m/>
    <m/>
    <m/>
  </r>
  <r>
    <n v="258"/>
    <m/>
    <m/>
    <m/>
    <m/>
    <m/>
    <m/>
    <m/>
    <m/>
    <m/>
    <m/>
    <m/>
    <m/>
    <x v="0"/>
    <m/>
    <m/>
    <m/>
  </r>
  <r>
    <n v="259"/>
    <m/>
    <m/>
    <m/>
    <m/>
    <m/>
    <m/>
    <m/>
    <m/>
    <m/>
    <m/>
    <m/>
    <m/>
    <x v="0"/>
    <m/>
    <m/>
    <m/>
  </r>
  <r>
    <n v="260"/>
    <m/>
    <m/>
    <m/>
    <m/>
    <m/>
    <m/>
    <m/>
    <m/>
    <m/>
    <m/>
    <m/>
    <m/>
    <x v="0"/>
    <m/>
    <m/>
    <m/>
  </r>
  <r>
    <n v="261"/>
    <m/>
    <m/>
    <m/>
    <m/>
    <m/>
    <m/>
    <m/>
    <m/>
    <m/>
    <m/>
    <m/>
    <m/>
    <x v="0"/>
    <m/>
    <m/>
    <m/>
  </r>
  <r>
    <n v="262"/>
    <m/>
    <m/>
    <m/>
    <m/>
    <m/>
    <m/>
    <m/>
    <m/>
    <m/>
    <m/>
    <m/>
    <m/>
    <x v="0"/>
    <m/>
    <m/>
    <m/>
  </r>
  <r>
    <n v="263"/>
    <m/>
    <m/>
    <m/>
    <m/>
    <m/>
    <m/>
    <m/>
    <m/>
    <m/>
    <m/>
    <m/>
    <m/>
    <x v="0"/>
    <m/>
    <m/>
    <m/>
  </r>
  <r>
    <n v="264"/>
    <m/>
    <m/>
    <m/>
    <m/>
    <m/>
    <m/>
    <m/>
    <m/>
    <m/>
    <m/>
    <m/>
    <m/>
    <x v="0"/>
    <m/>
    <m/>
    <m/>
  </r>
  <r>
    <n v="265"/>
    <m/>
    <m/>
    <m/>
    <m/>
    <m/>
    <m/>
    <m/>
    <m/>
    <m/>
    <m/>
    <m/>
    <m/>
    <x v="0"/>
    <m/>
    <m/>
    <m/>
  </r>
  <r>
    <n v="266"/>
    <m/>
    <m/>
    <m/>
    <m/>
    <m/>
    <m/>
    <m/>
    <m/>
    <m/>
    <m/>
    <m/>
    <m/>
    <x v="0"/>
    <m/>
    <m/>
    <m/>
  </r>
  <r>
    <n v="267"/>
    <m/>
    <m/>
    <m/>
    <m/>
    <m/>
    <m/>
    <m/>
    <m/>
    <m/>
    <m/>
    <m/>
    <m/>
    <x v="0"/>
    <m/>
    <m/>
    <m/>
  </r>
  <r>
    <n v="268"/>
    <m/>
    <m/>
    <m/>
    <m/>
    <m/>
    <m/>
    <m/>
    <m/>
    <m/>
    <m/>
    <m/>
    <m/>
    <x v="0"/>
    <m/>
    <m/>
    <m/>
  </r>
  <r>
    <n v="269"/>
    <m/>
    <m/>
    <m/>
    <m/>
    <m/>
    <m/>
    <m/>
    <m/>
    <m/>
    <m/>
    <m/>
    <m/>
    <x v="0"/>
    <m/>
    <m/>
    <m/>
  </r>
  <r>
    <n v="270"/>
    <m/>
    <m/>
    <m/>
    <m/>
    <m/>
    <m/>
    <m/>
    <m/>
    <m/>
    <m/>
    <m/>
    <m/>
    <x v="0"/>
    <m/>
    <m/>
    <m/>
  </r>
  <r>
    <n v="271"/>
    <m/>
    <m/>
    <m/>
    <m/>
    <m/>
    <m/>
    <m/>
    <m/>
    <m/>
    <m/>
    <m/>
    <m/>
    <x v="0"/>
    <m/>
    <m/>
    <m/>
  </r>
  <r>
    <n v="272"/>
    <m/>
    <m/>
    <m/>
    <m/>
    <m/>
    <m/>
    <m/>
    <m/>
    <m/>
    <m/>
    <m/>
    <m/>
    <x v="0"/>
    <m/>
    <m/>
    <m/>
  </r>
  <r>
    <n v="273"/>
    <m/>
    <m/>
    <m/>
    <m/>
    <m/>
    <m/>
    <m/>
    <m/>
    <m/>
    <m/>
    <m/>
    <m/>
    <x v="0"/>
    <m/>
    <m/>
    <m/>
  </r>
  <r>
    <n v="274"/>
    <m/>
    <m/>
    <m/>
    <m/>
    <m/>
    <m/>
    <m/>
    <m/>
    <m/>
    <m/>
    <m/>
    <m/>
    <x v="0"/>
    <m/>
    <m/>
    <m/>
  </r>
  <r>
    <n v="275"/>
    <m/>
    <m/>
    <m/>
    <m/>
    <m/>
    <m/>
    <m/>
    <m/>
    <m/>
    <m/>
    <m/>
    <m/>
    <x v="0"/>
    <m/>
    <m/>
    <m/>
  </r>
  <r>
    <n v="276"/>
    <m/>
    <m/>
    <m/>
    <m/>
    <m/>
    <m/>
    <m/>
    <m/>
    <m/>
    <m/>
    <m/>
    <m/>
    <x v="0"/>
    <m/>
    <m/>
    <m/>
  </r>
  <r>
    <n v="277"/>
    <m/>
    <m/>
    <m/>
    <m/>
    <m/>
    <m/>
    <m/>
    <m/>
    <m/>
    <m/>
    <m/>
    <m/>
    <x v="0"/>
    <m/>
    <m/>
    <m/>
  </r>
  <r>
    <n v="278"/>
    <m/>
    <m/>
    <m/>
    <m/>
    <m/>
    <m/>
    <m/>
    <m/>
    <m/>
    <m/>
    <m/>
    <m/>
    <x v="0"/>
    <m/>
    <m/>
    <m/>
  </r>
  <r>
    <n v="279"/>
    <m/>
    <m/>
    <m/>
    <m/>
    <m/>
    <m/>
    <m/>
    <m/>
    <m/>
    <m/>
    <m/>
    <m/>
    <x v="0"/>
    <m/>
    <m/>
    <m/>
  </r>
  <r>
    <n v="280"/>
    <m/>
    <m/>
    <m/>
    <m/>
    <m/>
    <m/>
    <m/>
    <m/>
    <m/>
    <m/>
    <m/>
    <m/>
    <x v="0"/>
    <m/>
    <m/>
    <m/>
  </r>
  <r>
    <n v="281"/>
    <m/>
    <m/>
    <m/>
    <m/>
    <m/>
    <m/>
    <m/>
    <m/>
    <m/>
    <m/>
    <m/>
    <m/>
    <x v="0"/>
    <m/>
    <m/>
    <m/>
  </r>
  <r>
    <n v="282"/>
    <m/>
    <m/>
    <m/>
    <m/>
    <m/>
    <m/>
    <m/>
    <m/>
    <m/>
    <m/>
    <m/>
    <m/>
    <x v="0"/>
    <m/>
    <m/>
    <m/>
  </r>
  <r>
    <n v="283"/>
    <m/>
    <m/>
    <m/>
    <m/>
    <m/>
    <m/>
    <m/>
    <m/>
    <m/>
    <m/>
    <m/>
    <m/>
    <x v="0"/>
    <m/>
    <m/>
    <m/>
  </r>
  <r>
    <n v="284"/>
    <m/>
    <m/>
    <m/>
    <m/>
    <m/>
    <m/>
    <m/>
    <m/>
    <m/>
    <m/>
    <m/>
    <m/>
    <x v="0"/>
    <m/>
    <m/>
    <m/>
  </r>
  <r>
    <n v="285"/>
    <m/>
    <m/>
    <m/>
    <m/>
    <m/>
    <m/>
    <m/>
    <m/>
    <m/>
    <m/>
    <m/>
    <m/>
    <x v="0"/>
    <m/>
    <m/>
    <m/>
  </r>
  <r>
    <n v="286"/>
    <m/>
    <m/>
    <m/>
    <m/>
    <m/>
    <m/>
    <m/>
    <m/>
    <m/>
    <m/>
    <m/>
    <m/>
    <x v="0"/>
    <m/>
    <m/>
    <m/>
  </r>
  <r>
    <n v="287"/>
    <m/>
    <m/>
    <m/>
    <m/>
    <m/>
    <m/>
    <m/>
    <m/>
    <m/>
    <m/>
    <m/>
    <m/>
    <x v="0"/>
    <m/>
    <m/>
    <m/>
  </r>
  <r>
    <n v="288"/>
    <m/>
    <m/>
    <m/>
    <m/>
    <m/>
    <m/>
    <m/>
    <m/>
    <m/>
    <m/>
    <m/>
    <m/>
    <x v="0"/>
    <m/>
    <m/>
    <m/>
  </r>
  <r>
    <n v="289"/>
    <m/>
    <m/>
    <m/>
    <m/>
    <m/>
    <m/>
    <m/>
    <m/>
    <m/>
    <m/>
    <m/>
    <m/>
    <x v="0"/>
    <m/>
    <m/>
    <m/>
  </r>
  <r>
    <n v="290"/>
    <m/>
    <m/>
    <m/>
    <m/>
    <m/>
    <m/>
    <m/>
    <m/>
    <m/>
    <m/>
    <m/>
    <m/>
    <x v="0"/>
    <m/>
    <m/>
    <m/>
  </r>
  <r>
    <n v="291"/>
    <m/>
    <m/>
    <m/>
    <m/>
    <m/>
    <m/>
    <m/>
    <m/>
    <m/>
    <m/>
    <m/>
    <m/>
    <x v="0"/>
    <m/>
    <m/>
    <m/>
  </r>
  <r>
    <n v="292"/>
    <m/>
    <m/>
    <m/>
    <m/>
    <m/>
    <m/>
    <m/>
    <m/>
    <m/>
    <m/>
    <m/>
    <m/>
    <x v="0"/>
    <m/>
    <m/>
    <m/>
  </r>
  <r>
    <n v="293"/>
    <m/>
    <m/>
    <m/>
    <m/>
    <m/>
    <m/>
    <m/>
    <m/>
    <m/>
    <m/>
    <m/>
    <m/>
    <x v="0"/>
    <m/>
    <m/>
    <m/>
  </r>
  <r>
    <n v="294"/>
    <m/>
    <m/>
    <m/>
    <m/>
    <m/>
    <m/>
    <m/>
    <m/>
    <m/>
    <m/>
    <m/>
    <m/>
    <x v="0"/>
    <m/>
    <m/>
    <m/>
  </r>
  <r>
    <n v="295"/>
    <m/>
    <m/>
    <m/>
    <m/>
    <m/>
    <m/>
    <m/>
    <m/>
    <m/>
    <m/>
    <m/>
    <m/>
    <x v="0"/>
    <m/>
    <m/>
    <m/>
  </r>
  <r>
    <n v="296"/>
    <m/>
    <m/>
    <m/>
    <m/>
    <m/>
    <m/>
    <m/>
    <m/>
    <m/>
    <m/>
    <m/>
    <m/>
    <x v="0"/>
    <m/>
    <m/>
    <m/>
  </r>
  <r>
    <n v="297"/>
    <m/>
    <m/>
    <m/>
    <m/>
    <m/>
    <m/>
    <m/>
    <m/>
    <m/>
    <m/>
    <m/>
    <m/>
    <x v="0"/>
    <m/>
    <m/>
    <m/>
  </r>
  <r>
    <n v="298"/>
    <m/>
    <m/>
    <m/>
    <m/>
    <m/>
    <m/>
    <m/>
    <m/>
    <m/>
    <m/>
    <m/>
    <m/>
    <x v="0"/>
    <m/>
    <m/>
    <m/>
  </r>
  <r>
    <n v="299"/>
    <m/>
    <m/>
    <m/>
    <m/>
    <m/>
    <m/>
    <m/>
    <m/>
    <m/>
    <m/>
    <m/>
    <m/>
    <x v="0"/>
    <m/>
    <m/>
    <m/>
  </r>
  <r>
    <n v="300"/>
    <m/>
    <m/>
    <m/>
    <m/>
    <m/>
    <m/>
    <m/>
    <m/>
    <m/>
    <m/>
    <m/>
    <m/>
    <x v="0"/>
    <m/>
    <m/>
    <m/>
  </r>
  <r>
    <n v="301"/>
    <m/>
    <m/>
    <m/>
    <m/>
    <m/>
    <m/>
    <m/>
    <m/>
    <m/>
    <m/>
    <m/>
    <m/>
    <x v="0"/>
    <m/>
    <m/>
    <m/>
  </r>
  <r>
    <n v="302"/>
    <m/>
    <m/>
    <m/>
    <m/>
    <m/>
    <m/>
    <m/>
    <m/>
    <m/>
    <m/>
    <m/>
    <m/>
    <x v="0"/>
    <m/>
    <m/>
    <m/>
  </r>
  <r>
    <n v="303"/>
    <m/>
    <m/>
    <m/>
    <m/>
    <m/>
    <m/>
    <m/>
    <m/>
    <m/>
    <m/>
    <m/>
    <m/>
    <x v="0"/>
    <m/>
    <m/>
    <m/>
  </r>
  <r>
    <n v="304"/>
    <m/>
    <m/>
    <m/>
    <m/>
    <m/>
    <m/>
    <m/>
    <m/>
    <m/>
    <m/>
    <m/>
    <m/>
    <x v="0"/>
    <m/>
    <m/>
    <m/>
  </r>
  <r>
    <n v="305"/>
    <m/>
    <m/>
    <m/>
    <m/>
    <m/>
    <m/>
    <m/>
    <m/>
    <m/>
    <m/>
    <m/>
    <m/>
    <x v="0"/>
    <m/>
    <m/>
    <m/>
  </r>
  <r>
    <n v="306"/>
    <m/>
    <m/>
    <m/>
    <m/>
    <m/>
    <m/>
    <m/>
    <m/>
    <m/>
    <m/>
    <m/>
    <m/>
    <x v="0"/>
    <m/>
    <m/>
    <m/>
  </r>
  <r>
    <n v="307"/>
    <m/>
    <m/>
    <m/>
    <m/>
    <m/>
    <m/>
    <m/>
    <m/>
    <m/>
    <m/>
    <m/>
    <m/>
    <x v="0"/>
    <m/>
    <m/>
    <m/>
  </r>
  <r>
    <n v="308"/>
    <m/>
    <m/>
    <m/>
    <m/>
    <m/>
    <m/>
    <m/>
    <m/>
    <m/>
    <m/>
    <m/>
    <m/>
    <x v="0"/>
    <m/>
    <m/>
    <m/>
  </r>
  <r>
    <n v="309"/>
    <m/>
    <m/>
    <m/>
    <m/>
    <m/>
    <m/>
    <m/>
    <m/>
    <m/>
    <m/>
    <m/>
    <m/>
    <x v="0"/>
    <m/>
    <m/>
    <m/>
  </r>
  <r>
    <n v="310"/>
    <m/>
    <m/>
    <m/>
    <m/>
    <m/>
    <m/>
    <m/>
    <m/>
    <m/>
    <m/>
    <m/>
    <m/>
    <x v="0"/>
    <m/>
    <m/>
    <m/>
  </r>
  <r>
    <n v="311"/>
    <m/>
    <m/>
    <m/>
    <m/>
    <m/>
    <m/>
    <m/>
    <m/>
    <m/>
    <m/>
    <m/>
    <m/>
    <x v="0"/>
    <m/>
    <m/>
    <m/>
  </r>
  <r>
    <n v="312"/>
    <m/>
    <m/>
    <m/>
    <m/>
    <m/>
    <m/>
    <m/>
    <m/>
    <m/>
    <m/>
    <m/>
    <m/>
    <x v="0"/>
    <m/>
    <m/>
    <m/>
  </r>
  <r>
    <n v="313"/>
    <m/>
    <m/>
    <m/>
    <m/>
    <m/>
    <m/>
    <m/>
    <m/>
    <m/>
    <m/>
    <m/>
    <m/>
    <x v="0"/>
    <m/>
    <m/>
    <m/>
  </r>
  <r>
    <n v="314"/>
    <m/>
    <m/>
    <m/>
    <m/>
    <m/>
    <m/>
    <m/>
    <m/>
    <m/>
    <m/>
    <m/>
    <m/>
    <x v="0"/>
    <m/>
    <m/>
    <m/>
  </r>
  <r>
    <n v="315"/>
    <m/>
    <m/>
    <m/>
    <m/>
    <m/>
    <m/>
    <m/>
    <m/>
    <m/>
    <m/>
    <m/>
    <m/>
    <x v="0"/>
    <m/>
    <m/>
    <m/>
  </r>
  <r>
    <n v="316"/>
    <m/>
    <m/>
    <m/>
    <m/>
    <m/>
    <m/>
    <m/>
    <m/>
    <m/>
    <m/>
    <m/>
    <m/>
    <x v="0"/>
    <m/>
    <m/>
    <m/>
  </r>
  <r>
    <n v="317"/>
    <m/>
    <m/>
    <m/>
    <m/>
    <m/>
    <m/>
    <m/>
    <m/>
    <m/>
    <m/>
    <m/>
    <m/>
    <x v="0"/>
    <m/>
    <m/>
    <m/>
  </r>
  <r>
    <n v="318"/>
    <m/>
    <m/>
    <m/>
    <m/>
    <m/>
    <m/>
    <m/>
    <m/>
    <m/>
    <m/>
    <m/>
    <m/>
    <x v="0"/>
    <m/>
    <m/>
    <m/>
  </r>
  <r>
    <n v="319"/>
    <m/>
    <m/>
    <m/>
    <m/>
    <m/>
    <m/>
    <m/>
    <m/>
    <m/>
    <m/>
    <m/>
    <m/>
    <x v="0"/>
    <m/>
    <m/>
    <m/>
  </r>
  <r>
    <n v="320"/>
    <m/>
    <m/>
    <m/>
    <m/>
    <m/>
    <m/>
    <m/>
    <m/>
    <m/>
    <m/>
    <m/>
    <m/>
    <x v="0"/>
    <m/>
    <m/>
    <m/>
  </r>
  <r>
    <n v="321"/>
    <m/>
    <m/>
    <m/>
    <m/>
    <m/>
    <m/>
    <m/>
    <m/>
    <m/>
    <m/>
    <m/>
    <m/>
    <x v="0"/>
    <m/>
    <m/>
    <m/>
  </r>
  <r>
    <n v="322"/>
    <m/>
    <m/>
    <m/>
    <m/>
    <m/>
    <m/>
    <m/>
    <m/>
    <m/>
    <m/>
    <m/>
    <m/>
    <x v="0"/>
    <m/>
    <m/>
    <m/>
  </r>
  <r>
    <n v="323"/>
    <m/>
    <m/>
    <m/>
    <m/>
    <m/>
    <m/>
    <m/>
    <m/>
    <m/>
    <m/>
    <m/>
    <m/>
    <x v="0"/>
    <m/>
    <m/>
    <m/>
  </r>
  <r>
    <n v="324"/>
    <m/>
    <m/>
    <m/>
    <m/>
    <m/>
    <m/>
    <m/>
    <m/>
    <m/>
    <m/>
    <m/>
    <m/>
    <x v="0"/>
    <m/>
    <m/>
    <m/>
  </r>
  <r>
    <n v="325"/>
    <m/>
    <m/>
    <m/>
    <m/>
    <m/>
    <m/>
    <m/>
    <m/>
    <m/>
    <m/>
    <m/>
    <m/>
    <x v="0"/>
    <m/>
    <m/>
    <m/>
  </r>
  <r>
    <n v="326"/>
    <m/>
    <m/>
    <m/>
    <m/>
    <m/>
    <m/>
    <m/>
    <m/>
    <m/>
    <m/>
    <m/>
    <m/>
    <x v="0"/>
    <m/>
    <m/>
    <m/>
  </r>
  <r>
    <n v="327"/>
    <m/>
    <m/>
    <m/>
    <m/>
    <m/>
    <m/>
    <m/>
    <m/>
    <m/>
    <m/>
    <m/>
    <m/>
    <x v="0"/>
    <m/>
    <m/>
    <m/>
  </r>
  <r>
    <n v="328"/>
    <m/>
    <m/>
    <m/>
    <m/>
    <m/>
    <m/>
    <m/>
    <m/>
    <m/>
    <m/>
    <m/>
    <m/>
    <x v="0"/>
    <m/>
    <m/>
    <m/>
  </r>
  <r>
    <n v="329"/>
    <m/>
    <m/>
    <m/>
    <m/>
    <m/>
    <m/>
    <m/>
    <m/>
    <m/>
    <m/>
    <m/>
    <m/>
    <x v="0"/>
    <m/>
    <m/>
    <m/>
  </r>
  <r>
    <n v="330"/>
    <m/>
    <m/>
    <m/>
    <m/>
    <m/>
    <m/>
    <m/>
    <m/>
    <m/>
    <m/>
    <m/>
    <m/>
    <x v="0"/>
    <m/>
    <m/>
    <m/>
  </r>
  <r>
    <n v="331"/>
    <m/>
    <m/>
    <m/>
    <m/>
    <m/>
    <m/>
    <m/>
    <m/>
    <m/>
    <m/>
    <m/>
    <m/>
    <x v="0"/>
    <m/>
    <m/>
    <m/>
  </r>
  <r>
    <n v="332"/>
    <m/>
    <m/>
    <m/>
    <m/>
    <m/>
    <m/>
    <m/>
    <m/>
    <m/>
    <m/>
    <m/>
    <m/>
    <x v="0"/>
    <m/>
    <m/>
    <m/>
  </r>
  <r>
    <n v="333"/>
    <m/>
    <m/>
    <m/>
    <m/>
    <m/>
    <m/>
    <m/>
    <m/>
    <m/>
    <m/>
    <m/>
    <m/>
    <x v="0"/>
    <m/>
    <m/>
    <m/>
  </r>
  <r>
    <n v="334"/>
    <m/>
    <m/>
    <m/>
    <m/>
    <m/>
    <m/>
    <m/>
    <m/>
    <m/>
    <m/>
    <m/>
    <m/>
    <x v="0"/>
    <m/>
    <m/>
    <m/>
  </r>
  <r>
    <n v="335"/>
    <m/>
    <m/>
    <m/>
    <m/>
    <m/>
    <m/>
    <m/>
    <m/>
    <m/>
    <m/>
    <m/>
    <m/>
    <x v="0"/>
    <m/>
    <m/>
    <m/>
  </r>
  <r>
    <n v="336"/>
    <m/>
    <m/>
    <m/>
    <m/>
    <m/>
    <m/>
    <m/>
    <m/>
    <m/>
    <m/>
    <m/>
    <m/>
    <x v="0"/>
    <m/>
    <m/>
    <m/>
  </r>
  <r>
    <n v="337"/>
    <m/>
    <m/>
    <m/>
    <m/>
    <m/>
    <m/>
    <m/>
    <m/>
    <m/>
    <m/>
    <m/>
    <m/>
    <x v="0"/>
    <m/>
    <m/>
    <m/>
  </r>
  <r>
    <n v="338"/>
    <m/>
    <m/>
    <m/>
    <m/>
    <m/>
    <m/>
    <m/>
    <m/>
    <m/>
    <m/>
    <m/>
    <m/>
    <x v="0"/>
    <m/>
    <m/>
    <m/>
  </r>
  <r>
    <n v="339"/>
    <m/>
    <m/>
    <m/>
    <m/>
    <m/>
    <m/>
    <m/>
    <m/>
    <m/>
    <m/>
    <m/>
    <m/>
    <x v="0"/>
    <m/>
    <m/>
    <m/>
  </r>
  <r>
    <n v="340"/>
    <m/>
    <m/>
    <m/>
    <m/>
    <m/>
    <m/>
    <m/>
    <m/>
    <m/>
    <m/>
    <m/>
    <m/>
    <x v="0"/>
    <m/>
    <m/>
    <m/>
  </r>
  <r>
    <n v="341"/>
    <m/>
    <m/>
    <m/>
    <m/>
    <m/>
    <m/>
    <m/>
    <m/>
    <m/>
    <m/>
    <m/>
    <m/>
    <x v="0"/>
    <m/>
    <m/>
    <m/>
  </r>
  <r>
    <n v="342"/>
    <m/>
    <m/>
    <m/>
    <m/>
    <m/>
    <m/>
    <m/>
    <m/>
    <m/>
    <m/>
    <m/>
    <m/>
    <x v="0"/>
    <m/>
    <m/>
    <m/>
  </r>
  <r>
    <n v="343"/>
    <m/>
    <m/>
    <m/>
    <m/>
    <m/>
    <m/>
    <m/>
    <m/>
    <m/>
    <m/>
    <m/>
    <m/>
    <x v="0"/>
    <m/>
    <m/>
    <m/>
  </r>
  <r>
    <n v="344"/>
    <m/>
    <m/>
    <m/>
    <m/>
    <m/>
    <m/>
    <m/>
    <m/>
    <m/>
    <m/>
    <m/>
    <m/>
    <x v="0"/>
    <m/>
    <m/>
    <m/>
  </r>
  <r>
    <n v="345"/>
    <m/>
    <m/>
    <m/>
    <m/>
    <m/>
    <m/>
    <m/>
    <m/>
    <m/>
    <m/>
    <m/>
    <m/>
    <x v="0"/>
    <m/>
    <m/>
    <m/>
  </r>
  <r>
    <n v="346"/>
    <m/>
    <m/>
    <m/>
    <m/>
    <m/>
    <m/>
    <m/>
    <m/>
    <m/>
    <m/>
    <m/>
    <m/>
    <x v="0"/>
    <m/>
    <m/>
    <m/>
  </r>
  <r>
    <n v="347"/>
    <m/>
    <m/>
    <m/>
    <m/>
    <m/>
    <m/>
    <m/>
    <m/>
    <m/>
    <m/>
    <m/>
    <m/>
    <x v="0"/>
    <m/>
    <m/>
    <m/>
  </r>
  <r>
    <n v="348"/>
    <m/>
    <m/>
    <m/>
    <m/>
    <m/>
    <m/>
    <m/>
    <m/>
    <m/>
    <m/>
    <m/>
    <m/>
    <x v="0"/>
    <m/>
    <m/>
    <m/>
  </r>
  <r>
    <n v="349"/>
    <m/>
    <m/>
    <m/>
    <m/>
    <m/>
    <m/>
    <m/>
    <m/>
    <m/>
    <m/>
    <m/>
    <m/>
    <x v="0"/>
    <m/>
    <m/>
    <m/>
  </r>
  <r>
    <n v="350"/>
    <m/>
    <m/>
    <m/>
    <m/>
    <m/>
    <m/>
    <m/>
    <m/>
    <m/>
    <m/>
    <m/>
    <m/>
    <x v="0"/>
    <m/>
    <m/>
    <m/>
  </r>
  <r>
    <n v="351"/>
    <m/>
    <m/>
    <m/>
    <m/>
    <m/>
    <m/>
    <m/>
    <m/>
    <m/>
    <m/>
    <m/>
    <m/>
    <x v="0"/>
    <m/>
    <m/>
    <m/>
  </r>
  <r>
    <n v="352"/>
    <m/>
    <m/>
    <m/>
    <m/>
    <m/>
    <m/>
    <m/>
    <m/>
    <m/>
    <m/>
    <m/>
    <m/>
    <x v="0"/>
    <m/>
    <m/>
    <m/>
  </r>
  <r>
    <n v="353"/>
    <m/>
    <m/>
    <m/>
    <m/>
    <m/>
    <m/>
    <m/>
    <m/>
    <m/>
    <m/>
    <m/>
    <m/>
    <x v="0"/>
    <m/>
    <m/>
    <m/>
  </r>
  <r>
    <n v="354"/>
    <m/>
    <m/>
    <m/>
    <m/>
    <m/>
    <m/>
    <m/>
    <m/>
    <m/>
    <m/>
    <m/>
    <m/>
    <x v="0"/>
    <m/>
    <m/>
    <m/>
  </r>
  <r>
    <n v="355"/>
    <m/>
    <m/>
    <m/>
    <m/>
    <m/>
    <m/>
    <m/>
    <m/>
    <m/>
    <m/>
    <m/>
    <m/>
    <x v="0"/>
    <m/>
    <m/>
    <m/>
  </r>
  <r>
    <n v="356"/>
    <m/>
    <m/>
    <m/>
    <m/>
    <m/>
    <m/>
    <m/>
    <m/>
    <m/>
    <m/>
    <m/>
    <m/>
    <x v="0"/>
    <m/>
    <m/>
    <m/>
  </r>
  <r>
    <n v="357"/>
    <m/>
    <m/>
    <m/>
    <m/>
    <m/>
    <m/>
    <m/>
    <m/>
    <m/>
    <m/>
    <m/>
    <m/>
    <x v="0"/>
    <m/>
    <m/>
    <m/>
  </r>
  <r>
    <n v="358"/>
    <m/>
    <m/>
    <m/>
    <m/>
    <m/>
    <m/>
    <m/>
    <m/>
    <m/>
    <m/>
    <m/>
    <m/>
    <x v="0"/>
    <m/>
    <m/>
    <m/>
  </r>
  <r>
    <n v="359"/>
    <m/>
    <m/>
    <m/>
    <m/>
    <m/>
    <m/>
    <m/>
    <m/>
    <m/>
    <m/>
    <m/>
    <m/>
    <x v="0"/>
    <m/>
    <m/>
    <m/>
  </r>
  <r>
    <n v="360"/>
    <m/>
    <m/>
    <m/>
    <m/>
    <m/>
    <m/>
    <m/>
    <m/>
    <m/>
    <m/>
    <m/>
    <m/>
    <x v="0"/>
    <m/>
    <m/>
    <m/>
  </r>
  <r>
    <n v="361"/>
    <m/>
    <m/>
    <m/>
    <m/>
    <m/>
    <m/>
    <m/>
    <m/>
    <m/>
    <m/>
    <m/>
    <m/>
    <x v="0"/>
    <m/>
    <m/>
    <m/>
  </r>
  <r>
    <n v="362"/>
    <m/>
    <m/>
    <m/>
    <m/>
    <m/>
    <m/>
    <m/>
    <m/>
    <m/>
    <m/>
    <m/>
    <m/>
    <x v="0"/>
    <m/>
    <m/>
    <m/>
  </r>
  <r>
    <n v="363"/>
    <m/>
    <m/>
    <m/>
    <m/>
    <m/>
    <m/>
    <m/>
    <m/>
    <m/>
    <m/>
    <m/>
    <m/>
    <x v="0"/>
    <m/>
    <m/>
    <m/>
  </r>
  <r>
    <n v="364"/>
    <m/>
    <m/>
    <m/>
    <m/>
    <m/>
    <m/>
    <m/>
    <m/>
    <m/>
    <m/>
    <m/>
    <m/>
    <x v="0"/>
    <m/>
    <m/>
    <m/>
  </r>
  <r>
    <n v="365"/>
    <m/>
    <m/>
    <m/>
    <m/>
    <m/>
    <m/>
    <m/>
    <m/>
    <m/>
    <m/>
    <m/>
    <m/>
    <x v="0"/>
    <m/>
    <m/>
    <m/>
  </r>
  <r>
    <n v="366"/>
    <m/>
    <m/>
    <m/>
    <m/>
    <m/>
    <m/>
    <m/>
    <m/>
    <m/>
    <m/>
    <m/>
    <m/>
    <x v="0"/>
    <m/>
    <m/>
    <m/>
  </r>
  <r>
    <n v="367"/>
    <m/>
    <m/>
    <m/>
    <m/>
    <m/>
    <m/>
    <m/>
    <m/>
    <m/>
    <m/>
    <m/>
    <m/>
    <x v="0"/>
    <m/>
    <m/>
    <m/>
  </r>
  <r>
    <n v="368"/>
    <m/>
    <m/>
    <m/>
    <m/>
    <m/>
    <m/>
    <m/>
    <m/>
    <m/>
    <m/>
    <m/>
    <m/>
    <x v="0"/>
    <m/>
    <m/>
    <m/>
  </r>
  <r>
    <n v="369"/>
    <m/>
    <m/>
    <m/>
    <m/>
    <m/>
    <m/>
    <m/>
    <m/>
    <m/>
    <m/>
    <m/>
    <m/>
    <x v="0"/>
    <m/>
    <m/>
    <m/>
  </r>
  <r>
    <n v="370"/>
    <m/>
    <m/>
    <m/>
    <m/>
    <m/>
    <m/>
    <m/>
    <m/>
    <m/>
    <m/>
    <m/>
    <m/>
    <x v="0"/>
    <m/>
    <m/>
    <m/>
  </r>
  <r>
    <n v="371"/>
    <m/>
    <m/>
    <m/>
    <m/>
    <m/>
    <m/>
    <m/>
    <m/>
    <m/>
    <m/>
    <m/>
    <m/>
    <x v="0"/>
    <m/>
    <m/>
    <m/>
  </r>
  <r>
    <n v="372"/>
    <m/>
    <m/>
    <m/>
    <m/>
    <m/>
    <m/>
    <m/>
    <m/>
    <m/>
    <m/>
    <m/>
    <m/>
    <x v="0"/>
    <m/>
    <m/>
    <m/>
  </r>
  <r>
    <n v="373"/>
    <m/>
    <m/>
    <m/>
    <m/>
    <m/>
    <m/>
    <m/>
    <m/>
    <m/>
    <m/>
    <m/>
    <m/>
    <x v="0"/>
    <m/>
    <m/>
    <m/>
  </r>
  <r>
    <n v="374"/>
    <m/>
    <m/>
    <m/>
    <m/>
    <m/>
    <m/>
    <m/>
    <m/>
    <m/>
    <m/>
    <m/>
    <m/>
    <x v="0"/>
    <m/>
    <m/>
    <m/>
  </r>
  <r>
    <n v="375"/>
    <m/>
    <m/>
    <m/>
    <m/>
    <m/>
    <m/>
    <m/>
    <m/>
    <m/>
    <m/>
    <m/>
    <m/>
    <x v="0"/>
    <m/>
    <m/>
    <m/>
  </r>
  <r>
    <n v="376"/>
    <m/>
    <m/>
    <m/>
    <m/>
    <m/>
    <m/>
    <m/>
    <m/>
    <m/>
    <m/>
    <m/>
    <m/>
    <x v="0"/>
    <m/>
    <m/>
    <m/>
  </r>
  <r>
    <n v="377"/>
    <m/>
    <m/>
    <m/>
    <m/>
    <m/>
    <m/>
    <m/>
    <m/>
    <m/>
    <m/>
    <m/>
    <m/>
    <x v="0"/>
    <m/>
    <m/>
    <m/>
  </r>
  <r>
    <n v="378"/>
    <m/>
    <m/>
    <m/>
    <m/>
    <m/>
    <m/>
    <m/>
    <m/>
    <m/>
    <m/>
    <m/>
    <m/>
    <x v="0"/>
    <m/>
    <m/>
    <m/>
  </r>
  <r>
    <n v="379"/>
    <m/>
    <m/>
    <m/>
    <m/>
    <m/>
    <m/>
    <m/>
    <m/>
    <m/>
    <m/>
    <m/>
    <m/>
    <x v="0"/>
    <m/>
    <m/>
    <m/>
  </r>
  <r>
    <n v="380"/>
    <m/>
    <m/>
    <m/>
    <m/>
    <m/>
    <m/>
    <m/>
    <m/>
    <m/>
    <m/>
    <m/>
    <m/>
    <x v="0"/>
    <m/>
    <m/>
    <m/>
  </r>
  <r>
    <n v="381"/>
    <m/>
    <m/>
    <m/>
    <m/>
    <m/>
    <m/>
    <m/>
    <m/>
    <m/>
    <m/>
    <m/>
    <m/>
    <x v="0"/>
    <m/>
    <m/>
    <m/>
  </r>
  <r>
    <n v="382"/>
    <m/>
    <m/>
    <m/>
    <m/>
    <m/>
    <m/>
    <m/>
    <m/>
    <m/>
    <m/>
    <m/>
    <m/>
    <x v="0"/>
    <m/>
    <m/>
    <m/>
  </r>
  <r>
    <n v="383"/>
    <m/>
    <m/>
    <m/>
    <m/>
    <m/>
    <m/>
    <m/>
    <m/>
    <m/>
    <m/>
    <m/>
    <m/>
    <x v="0"/>
    <m/>
    <m/>
    <m/>
  </r>
  <r>
    <n v="384"/>
    <m/>
    <m/>
    <m/>
    <m/>
    <m/>
    <m/>
    <m/>
    <m/>
    <m/>
    <m/>
    <m/>
    <m/>
    <x v="0"/>
    <m/>
    <m/>
    <m/>
  </r>
  <r>
    <n v="385"/>
    <m/>
    <m/>
    <m/>
    <m/>
    <m/>
    <m/>
    <m/>
    <m/>
    <m/>
    <m/>
    <m/>
    <m/>
    <x v="0"/>
    <m/>
    <m/>
    <m/>
  </r>
  <r>
    <n v="386"/>
    <m/>
    <m/>
    <m/>
    <m/>
    <m/>
    <m/>
    <m/>
    <m/>
    <m/>
    <m/>
    <m/>
    <m/>
    <x v="0"/>
    <m/>
    <m/>
    <m/>
  </r>
  <r>
    <n v="387"/>
    <m/>
    <m/>
    <m/>
    <m/>
    <m/>
    <m/>
    <m/>
    <m/>
    <m/>
    <m/>
    <m/>
    <m/>
    <x v="0"/>
    <m/>
    <m/>
    <m/>
  </r>
  <r>
    <n v="388"/>
    <m/>
    <m/>
    <m/>
    <m/>
    <m/>
    <m/>
    <m/>
    <m/>
    <m/>
    <m/>
    <m/>
    <m/>
    <x v="0"/>
    <m/>
    <m/>
    <m/>
  </r>
  <r>
    <n v="389"/>
    <m/>
    <m/>
    <m/>
    <m/>
    <m/>
    <m/>
    <m/>
    <m/>
    <m/>
    <m/>
    <m/>
    <m/>
    <x v="0"/>
    <m/>
    <m/>
    <m/>
  </r>
  <r>
    <n v="390"/>
    <m/>
    <m/>
    <m/>
    <m/>
    <m/>
    <m/>
    <m/>
    <m/>
    <m/>
    <m/>
    <m/>
    <m/>
    <x v="0"/>
    <m/>
    <m/>
    <m/>
  </r>
  <r>
    <n v="391"/>
    <m/>
    <m/>
    <m/>
    <m/>
    <m/>
    <m/>
    <m/>
    <m/>
    <m/>
    <m/>
    <m/>
    <m/>
    <x v="0"/>
    <m/>
    <m/>
    <m/>
  </r>
  <r>
    <n v="392"/>
    <m/>
    <m/>
    <m/>
    <m/>
    <m/>
    <m/>
    <m/>
    <m/>
    <m/>
    <m/>
    <m/>
    <m/>
    <x v="0"/>
    <m/>
    <m/>
    <m/>
  </r>
  <r>
    <n v="393"/>
    <m/>
    <m/>
    <m/>
    <m/>
    <m/>
    <m/>
    <m/>
    <m/>
    <m/>
    <m/>
    <m/>
    <m/>
    <x v="0"/>
    <m/>
    <m/>
    <m/>
  </r>
  <r>
    <n v="394"/>
    <m/>
    <m/>
    <m/>
    <m/>
    <m/>
    <m/>
    <m/>
    <m/>
    <m/>
    <m/>
    <m/>
    <m/>
    <x v="0"/>
    <m/>
    <m/>
    <m/>
  </r>
  <r>
    <n v="395"/>
    <m/>
    <m/>
    <m/>
    <m/>
    <m/>
    <m/>
    <m/>
    <m/>
    <m/>
    <m/>
    <m/>
    <m/>
    <x v="0"/>
    <m/>
    <m/>
    <m/>
  </r>
  <r>
    <n v="396"/>
    <m/>
    <m/>
    <m/>
    <m/>
    <m/>
    <m/>
    <m/>
    <m/>
    <m/>
    <m/>
    <m/>
    <m/>
    <x v="0"/>
    <m/>
    <m/>
    <m/>
  </r>
  <r>
    <n v="397"/>
    <m/>
    <m/>
    <m/>
    <m/>
    <m/>
    <m/>
    <m/>
    <m/>
    <m/>
    <m/>
    <m/>
    <m/>
    <x v="0"/>
    <m/>
    <m/>
    <m/>
  </r>
  <r>
    <n v="398"/>
    <m/>
    <m/>
    <m/>
    <m/>
    <m/>
    <m/>
    <m/>
    <m/>
    <m/>
    <m/>
    <m/>
    <m/>
    <x v="0"/>
    <m/>
    <m/>
    <m/>
  </r>
  <r>
    <n v="399"/>
    <m/>
    <m/>
    <m/>
    <m/>
    <m/>
    <m/>
    <m/>
    <m/>
    <m/>
    <m/>
    <m/>
    <m/>
    <x v="0"/>
    <m/>
    <m/>
    <m/>
  </r>
  <r>
    <n v="400"/>
    <m/>
    <m/>
    <m/>
    <m/>
    <m/>
    <m/>
    <m/>
    <m/>
    <m/>
    <m/>
    <m/>
    <m/>
    <x v="0"/>
    <m/>
    <m/>
    <m/>
  </r>
  <r>
    <n v="401"/>
    <m/>
    <m/>
    <m/>
    <m/>
    <m/>
    <m/>
    <m/>
    <m/>
    <m/>
    <m/>
    <m/>
    <m/>
    <x v="0"/>
    <m/>
    <m/>
    <m/>
  </r>
  <r>
    <n v="402"/>
    <m/>
    <m/>
    <m/>
    <m/>
    <m/>
    <m/>
    <m/>
    <m/>
    <m/>
    <m/>
    <m/>
    <m/>
    <x v="0"/>
    <m/>
    <m/>
    <m/>
  </r>
  <r>
    <n v="403"/>
    <m/>
    <m/>
    <m/>
    <m/>
    <m/>
    <m/>
    <m/>
    <m/>
    <m/>
    <m/>
    <m/>
    <m/>
    <x v="0"/>
    <m/>
    <m/>
    <m/>
  </r>
  <r>
    <n v="404"/>
    <m/>
    <m/>
    <m/>
    <m/>
    <m/>
    <m/>
    <m/>
    <m/>
    <m/>
    <m/>
    <m/>
    <m/>
    <x v="0"/>
    <m/>
    <m/>
    <m/>
  </r>
  <r>
    <n v="405"/>
    <m/>
    <m/>
    <m/>
    <m/>
    <m/>
    <m/>
    <m/>
    <m/>
    <m/>
    <m/>
    <m/>
    <m/>
    <x v="0"/>
    <m/>
    <m/>
    <m/>
  </r>
  <r>
    <n v="406"/>
    <m/>
    <m/>
    <m/>
    <m/>
    <m/>
    <m/>
    <m/>
    <m/>
    <m/>
    <m/>
    <m/>
    <m/>
    <x v="0"/>
    <m/>
    <m/>
    <m/>
  </r>
  <r>
    <n v="407"/>
    <m/>
    <m/>
    <m/>
    <m/>
    <m/>
    <m/>
    <m/>
    <m/>
    <m/>
    <m/>
    <m/>
    <m/>
    <x v="0"/>
    <m/>
    <m/>
    <m/>
  </r>
  <r>
    <n v="408"/>
    <m/>
    <m/>
    <m/>
    <m/>
    <m/>
    <m/>
    <m/>
    <m/>
    <m/>
    <m/>
    <m/>
    <m/>
    <x v="0"/>
    <m/>
    <m/>
    <m/>
  </r>
  <r>
    <n v="409"/>
    <m/>
    <m/>
    <m/>
    <m/>
    <m/>
    <m/>
    <m/>
    <m/>
    <m/>
    <m/>
    <m/>
    <m/>
    <x v="0"/>
    <m/>
    <m/>
    <m/>
  </r>
  <r>
    <n v="410"/>
    <m/>
    <m/>
    <m/>
    <m/>
    <m/>
    <m/>
    <m/>
    <m/>
    <m/>
    <m/>
    <m/>
    <m/>
    <x v="0"/>
    <m/>
    <m/>
    <m/>
  </r>
  <r>
    <n v="411"/>
    <m/>
    <m/>
    <m/>
    <m/>
    <m/>
    <m/>
    <m/>
    <m/>
    <m/>
    <m/>
    <m/>
    <m/>
    <x v="0"/>
    <m/>
    <m/>
    <m/>
  </r>
  <r>
    <n v="412"/>
    <m/>
    <m/>
    <m/>
    <m/>
    <m/>
    <m/>
    <m/>
    <m/>
    <m/>
    <m/>
    <m/>
    <m/>
    <x v="0"/>
    <m/>
    <m/>
    <m/>
  </r>
  <r>
    <n v="413"/>
    <m/>
    <m/>
    <m/>
    <m/>
    <m/>
    <m/>
    <m/>
    <m/>
    <m/>
    <m/>
    <m/>
    <m/>
    <x v="0"/>
    <m/>
    <m/>
    <m/>
  </r>
  <r>
    <n v="414"/>
    <m/>
    <m/>
    <m/>
    <m/>
    <m/>
    <m/>
    <m/>
    <m/>
    <m/>
    <m/>
    <m/>
    <m/>
    <x v="0"/>
    <m/>
    <m/>
    <m/>
  </r>
  <r>
    <n v="415"/>
    <m/>
    <m/>
    <m/>
    <m/>
    <m/>
    <m/>
    <m/>
    <m/>
    <m/>
    <m/>
    <m/>
    <m/>
    <x v="0"/>
    <m/>
    <m/>
    <m/>
  </r>
  <r>
    <n v="416"/>
    <m/>
    <m/>
    <m/>
    <m/>
    <m/>
    <m/>
    <m/>
    <m/>
    <m/>
    <m/>
    <m/>
    <m/>
    <x v="0"/>
    <m/>
    <m/>
    <m/>
  </r>
  <r>
    <n v="417"/>
    <m/>
    <m/>
    <m/>
    <m/>
    <m/>
    <m/>
    <m/>
    <m/>
    <m/>
    <m/>
    <m/>
    <m/>
    <x v="0"/>
    <m/>
    <m/>
    <m/>
  </r>
  <r>
    <n v="418"/>
    <m/>
    <m/>
    <m/>
    <m/>
    <m/>
    <m/>
    <m/>
    <m/>
    <m/>
    <m/>
    <m/>
    <m/>
    <x v="0"/>
    <m/>
    <m/>
    <m/>
  </r>
  <r>
    <n v="419"/>
    <m/>
    <m/>
    <m/>
    <m/>
    <m/>
    <m/>
    <m/>
    <m/>
    <m/>
    <m/>
    <m/>
    <m/>
    <x v="0"/>
    <m/>
    <m/>
    <m/>
  </r>
  <r>
    <n v="420"/>
    <m/>
    <m/>
    <m/>
    <m/>
    <m/>
    <m/>
    <m/>
    <m/>
    <m/>
    <m/>
    <m/>
    <m/>
    <x v="0"/>
    <m/>
    <m/>
    <m/>
  </r>
  <r>
    <n v="421"/>
    <m/>
    <m/>
    <m/>
    <m/>
    <m/>
    <m/>
    <m/>
    <m/>
    <m/>
    <m/>
    <m/>
    <m/>
    <x v="0"/>
    <m/>
    <m/>
    <m/>
  </r>
  <r>
    <n v="422"/>
    <m/>
    <m/>
    <m/>
    <m/>
    <m/>
    <m/>
    <m/>
    <m/>
    <m/>
    <m/>
    <m/>
    <m/>
    <x v="0"/>
    <m/>
    <m/>
    <m/>
  </r>
  <r>
    <n v="423"/>
    <m/>
    <m/>
    <m/>
    <m/>
    <m/>
    <m/>
    <m/>
    <m/>
    <m/>
    <m/>
    <m/>
    <m/>
    <x v="0"/>
    <m/>
    <m/>
    <m/>
  </r>
  <r>
    <n v="424"/>
    <m/>
    <m/>
    <m/>
    <m/>
    <m/>
    <m/>
    <m/>
    <m/>
    <m/>
    <m/>
    <m/>
    <m/>
    <x v="0"/>
    <m/>
    <m/>
    <m/>
  </r>
  <r>
    <n v="425"/>
    <m/>
    <m/>
    <m/>
    <m/>
    <m/>
    <m/>
    <m/>
    <m/>
    <m/>
    <m/>
    <m/>
    <m/>
    <x v="0"/>
    <m/>
    <m/>
    <m/>
  </r>
  <r>
    <n v="426"/>
    <m/>
    <m/>
    <m/>
    <m/>
    <m/>
    <m/>
    <m/>
    <m/>
    <m/>
    <m/>
    <m/>
    <m/>
    <x v="0"/>
    <m/>
    <m/>
    <m/>
  </r>
  <r>
    <n v="427"/>
    <m/>
    <m/>
    <m/>
    <m/>
    <m/>
    <m/>
    <m/>
    <m/>
    <m/>
    <m/>
    <m/>
    <m/>
    <x v="0"/>
    <m/>
    <m/>
    <m/>
  </r>
  <r>
    <n v="428"/>
    <m/>
    <m/>
    <m/>
    <m/>
    <m/>
    <m/>
    <m/>
    <m/>
    <m/>
    <m/>
    <m/>
    <m/>
    <x v="0"/>
    <m/>
    <m/>
    <m/>
  </r>
  <r>
    <n v="429"/>
    <m/>
    <m/>
    <m/>
    <m/>
    <m/>
    <m/>
    <m/>
    <m/>
    <m/>
    <m/>
    <m/>
    <m/>
    <x v="0"/>
    <m/>
    <m/>
    <m/>
  </r>
  <r>
    <n v="430"/>
    <m/>
    <m/>
    <m/>
    <m/>
    <m/>
    <m/>
    <m/>
    <m/>
    <m/>
    <m/>
    <m/>
    <m/>
    <x v="0"/>
    <m/>
    <m/>
    <m/>
  </r>
  <r>
    <n v="431"/>
    <m/>
    <m/>
    <m/>
    <m/>
    <m/>
    <m/>
    <m/>
    <m/>
    <m/>
    <m/>
    <m/>
    <m/>
    <x v="0"/>
    <m/>
    <m/>
    <m/>
  </r>
  <r>
    <n v="432"/>
    <m/>
    <m/>
    <m/>
    <m/>
    <m/>
    <m/>
    <m/>
    <m/>
    <m/>
    <m/>
    <m/>
    <m/>
    <x v="0"/>
    <m/>
    <m/>
    <m/>
  </r>
  <r>
    <n v="433"/>
    <m/>
    <m/>
    <m/>
    <m/>
    <m/>
    <m/>
    <m/>
    <m/>
    <m/>
    <m/>
    <m/>
    <m/>
    <x v="0"/>
    <m/>
    <m/>
    <m/>
  </r>
  <r>
    <n v="434"/>
    <m/>
    <m/>
    <m/>
    <m/>
    <m/>
    <m/>
    <m/>
    <m/>
    <m/>
    <m/>
    <m/>
    <m/>
    <x v="0"/>
    <m/>
    <m/>
    <m/>
  </r>
  <r>
    <n v="435"/>
    <m/>
    <m/>
    <m/>
    <m/>
    <m/>
    <m/>
    <m/>
    <m/>
    <m/>
    <m/>
    <m/>
    <m/>
    <x v="0"/>
    <m/>
    <m/>
    <m/>
  </r>
  <r>
    <n v="436"/>
    <m/>
    <m/>
    <m/>
    <m/>
    <m/>
    <m/>
    <m/>
    <m/>
    <m/>
    <m/>
    <m/>
    <m/>
    <x v="0"/>
    <m/>
    <m/>
    <m/>
  </r>
  <r>
    <n v="437"/>
    <m/>
    <m/>
    <m/>
    <m/>
    <m/>
    <m/>
    <m/>
    <m/>
    <m/>
    <m/>
    <m/>
    <m/>
    <x v="0"/>
    <m/>
    <m/>
    <m/>
  </r>
  <r>
    <n v="438"/>
    <m/>
    <m/>
    <m/>
    <m/>
    <m/>
    <m/>
    <m/>
    <m/>
    <m/>
    <m/>
    <m/>
    <m/>
    <x v="0"/>
    <m/>
    <m/>
    <m/>
  </r>
  <r>
    <n v="439"/>
    <m/>
    <m/>
    <m/>
    <m/>
    <m/>
    <m/>
    <m/>
    <m/>
    <m/>
    <m/>
    <m/>
    <m/>
    <x v="0"/>
    <m/>
    <m/>
    <m/>
  </r>
  <r>
    <n v="440"/>
    <m/>
    <m/>
    <m/>
    <m/>
    <m/>
    <m/>
    <m/>
    <m/>
    <m/>
    <m/>
    <m/>
    <m/>
    <x v="0"/>
    <m/>
    <m/>
    <m/>
  </r>
  <r>
    <n v="441"/>
    <m/>
    <m/>
    <m/>
    <m/>
    <m/>
    <m/>
    <m/>
    <m/>
    <m/>
    <m/>
    <m/>
    <m/>
    <x v="0"/>
    <m/>
    <m/>
    <m/>
  </r>
  <r>
    <n v="442"/>
    <m/>
    <m/>
    <m/>
    <m/>
    <m/>
    <m/>
    <m/>
    <m/>
    <m/>
    <m/>
    <m/>
    <m/>
    <x v="0"/>
    <m/>
    <m/>
    <m/>
  </r>
  <r>
    <n v="443"/>
    <m/>
    <m/>
    <m/>
    <m/>
    <m/>
    <m/>
    <m/>
    <m/>
    <m/>
    <m/>
    <m/>
    <m/>
    <x v="0"/>
    <m/>
    <m/>
    <m/>
  </r>
  <r>
    <n v="444"/>
    <m/>
    <m/>
    <m/>
    <m/>
    <m/>
    <m/>
    <m/>
    <m/>
    <m/>
    <m/>
    <m/>
    <m/>
    <x v="0"/>
    <m/>
    <m/>
    <m/>
  </r>
  <r>
    <n v="445"/>
    <m/>
    <m/>
    <m/>
    <m/>
    <m/>
    <m/>
    <m/>
    <m/>
    <m/>
    <m/>
    <m/>
    <m/>
    <x v="0"/>
    <m/>
    <m/>
    <m/>
  </r>
  <r>
    <n v="446"/>
    <m/>
    <m/>
    <m/>
    <m/>
    <m/>
    <m/>
    <m/>
    <m/>
    <m/>
    <m/>
    <m/>
    <m/>
    <x v="0"/>
    <m/>
    <m/>
    <m/>
  </r>
  <r>
    <n v="447"/>
    <m/>
    <m/>
    <m/>
    <m/>
    <m/>
    <m/>
    <m/>
    <m/>
    <m/>
    <m/>
    <m/>
    <m/>
    <x v="0"/>
    <m/>
    <m/>
    <m/>
  </r>
  <r>
    <n v="448"/>
    <m/>
    <m/>
    <m/>
    <m/>
    <m/>
    <m/>
    <m/>
    <m/>
    <m/>
    <m/>
    <m/>
    <m/>
    <x v="0"/>
    <m/>
    <m/>
    <m/>
  </r>
  <r>
    <n v="449"/>
    <m/>
    <m/>
    <m/>
    <m/>
    <m/>
    <m/>
    <m/>
    <m/>
    <m/>
    <m/>
    <m/>
    <m/>
    <x v="0"/>
    <m/>
    <m/>
    <m/>
  </r>
  <r>
    <n v="450"/>
    <m/>
    <m/>
    <m/>
    <m/>
    <m/>
    <m/>
    <m/>
    <m/>
    <m/>
    <m/>
    <m/>
    <m/>
    <x v="0"/>
    <m/>
    <m/>
    <m/>
  </r>
  <r>
    <n v="451"/>
    <m/>
    <m/>
    <m/>
    <m/>
    <m/>
    <m/>
    <m/>
    <m/>
    <m/>
    <m/>
    <m/>
    <m/>
    <x v="0"/>
    <m/>
    <m/>
    <m/>
  </r>
  <r>
    <n v="452"/>
    <m/>
    <m/>
    <m/>
    <m/>
    <m/>
    <m/>
    <m/>
    <m/>
    <m/>
    <m/>
    <m/>
    <m/>
    <x v="0"/>
    <m/>
    <m/>
    <m/>
  </r>
  <r>
    <n v="453"/>
    <m/>
    <m/>
    <m/>
    <m/>
    <m/>
    <m/>
    <m/>
    <m/>
    <m/>
    <m/>
    <m/>
    <m/>
    <x v="0"/>
    <m/>
    <m/>
    <m/>
  </r>
  <r>
    <n v="454"/>
    <m/>
    <m/>
    <m/>
    <m/>
    <m/>
    <m/>
    <m/>
    <m/>
    <m/>
    <m/>
    <m/>
    <m/>
    <x v="0"/>
    <m/>
    <m/>
    <m/>
  </r>
  <r>
    <n v="455"/>
    <m/>
    <m/>
    <m/>
    <m/>
    <m/>
    <m/>
    <m/>
    <m/>
    <m/>
    <m/>
    <m/>
    <m/>
    <x v="0"/>
    <m/>
    <m/>
    <m/>
  </r>
  <r>
    <n v="456"/>
    <m/>
    <m/>
    <m/>
    <m/>
    <m/>
    <m/>
    <m/>
    <m/>
    <m/>
    <m/>
    <m/>
    <m/>
    <x v="0"/>
    <m/>
    <m/>
    <m/>
  </r>
  <r>
    <n v="457"/>
    <m/>
    <m/>
    <m/>
    <m/>
    <m/>
    <m/>
    <m/>
    <m/>
    <m/>
    <m/>
    <m/>
    <m/>
    <x v="0"/>
    <m/>
    <m/>
    <m/>
  </r>
  <r>
    <n v="458"/>
    <m/>
    <m/>
    <m/>
    <m/>
    <m/>
    <m/>
    <m/>
    <m/>
    <m/>
    <m/>
    <m/>
    <m/>
    <x v="0"/>
    <m/>
    <m/>
    <m/>
  </r>
  <r>
    <n v="459"/>
    <m/>
    <m/>
    <m/>
    <m/>
    <m/>
    <m/>
    <m/>
    <m/>
    <m/>
    <m/>
    <m/>
    <m/>
    <x v="0"/>
    <m/>
    <m/>
    <m/>
  </r>
  <r>
    <n v="460"/>
    <m/>
    <m/>
    <m/>
    <m/>
    <m/>
    <m/>
    <m/>
    <m/>
    <m/>
    <m/>
    <m/>
    <m/>
    <x v="0"/>
    <m/>
    <m/>
    <m/>
  </r>
  <r>
    <n v="461"/>
    <m/>
    <m/>
    <m/>
    <m/>
    <m/>
    <m/>
    <m/>
    <m/>
    <m/>
    <m/>
    <m/>
    <m/>
    <x v="0"/>
    <m/>
    <m/>
    <m/>
  </r>
  <r>
    <n v="462"/>
    <m/>
    <m/>
    <m/>
    <m/>
    <m/>
    <m/>
    <m/>
    <m/>
    <m/>
    <m/>
    <m/>
    <m/>
    <x v="0"/>
    <m/>
    <m/>
    <m/>
  </r>
  <r>
    <n v="463"/>
    <m/>
    <m/>
    <m/>
    <m/>
    <m/>
    <m/>
    <m/>
    <m/>
    <m/>
    <m/>
    <m/>
    <m/>
    <x v="0"/>
    <m/>
    <m/>
    <m/>
  </r>
  <r>
    <n v="464"/>
    <m/>
    <m/>
    <m/>
    <m/>
    <m/>
    <m/>
    <m/>
    <m/>
    <m/>
    <m/>
    <m/>
    <m/>
    <x v="0"/>
    <m/>
    <m/>
    <m/>
  </r>
  <r>
    <n v="465"/>
    <m/>
    <m/>
    <m/>
    <m/>
    <m/>
    <m/>
    <m/>
    <m/>
    <m/>
    <m/>
    <m/>
    <m/>
    <x v="0"/>
    <m/>
    <m/>
    <m/>
  </r>
  <r>
    <n v="466"/>
    <m/>
    <m/>
    <m/>
    <m/>
    <m/>
    <m/>
    <m/>
    <m/>
    <m/>
    <m/>
    <m/>
    <m/>
    <x v="0"/>
    <m/>
    <m/>
    <m/>
  </r>
  <r>
    <n v="467"/>
    <m/>
    <m/>
    <m/>
    <m/>
    <m/>
    <m/>
    <m/>
    <m/>
    <m/>
    <m/>
    <m/>
    <m/>
    <x v="0"/>
    <m/>
    <m/>
    <m/>
  </r>
  <r>
    <n v="468"/>
    <m/>
    <m/>
    <m/>
    <m/>
    <m/>
    <m/>
    <m/>
    <m/>
    <m/>
    <m/>
    <m/>
    <m/>
    <x v="0"/>
    <m/>
    <m/>
    <m/>
  </r>
  <r>
    <n v="469"/>
    <m/>
    <m/>
    <m/>
    <m/>
    <m/>
    <m/>
    <m/>
    <m/>
    <m/>
    <m/>
    <m/>
    <m/>
    <x v="0"/>
    <m/>
    <m/>
    <m/>
  </r>
  <r>
    <n v="470"/>
    <m/>
    <m/>
    <m/>
    <m/>
    <m/>
    <m/>
    <m/>
    <m/>
    <m/>
    <m/>
    <m/>
    <m/>
    <x v="0"/>
    <m/>
    <m/>
    <m/>
  </r>
  <r>
    <n v="471"/>
    <m/>
    <m/>
    <m/>
    <m/>
    <m/>
    <m/>
    <m/>
    <m/>
    <m/>
    <m/>
    <m/>
    <m/>
    <x v="0"/>
    <m/>
    <m/>
    <m/>
  </r>
  <r>
    <n v="472"/>
    <m/>
    <m/>
    <m/>
    <m/>
    <m/>
    <m/>
    <m/>
    <m/>
    <m/>
    <m/>
    <m/>
    <m/>
    <x v="0"/>
    <m/>
    <m/>
    <m/>
  </r>
  <r>
    <n v="473"/>
    <m/>
    <m/>
    <m/>
    <m/>
    <m/>
    <m/>
    <m/>
    <m/>
    <m/>
    <m/>
    <m/>
    <m/>
    <x v="0"/>
    <m/>
    <m/>
    <m/>
  </r>
  <r>
    <n v="474"/>
    <m/>
    <m/>
    <m/>
    <m/>
    <m/>
    <m/>
    <m/>
    <m/>
    <m/>
    <m/>
    <m/>
    <m/>
    <x v="0"/>
    <m/>
    <m/>
    <m/>
  </r>
  <r>
    <n v="475"/>
    <m/>
    <m/>
    <m/>
    <m/>
    <m/>
    <m/>
    <m/>
    <m/>
    <m/>
    <m/>
    <m/>
    <m/>
    <x v="0"/>
    <m/>
    <m/>
    <m/>
  </r>
  <r>
    <n v="476"/>
    <m/>
    <m/>
    <m/>
    <m/>
    <m/>
    <m/>
    <m/>
    <m/>
    <m/>
    <m/>
    <m/>
    <m/>
    <x v="0"/>
    <m/>
    <m/>
    <m/>
  </r>
  <r>
    <n v="477"/>
    <m/>
    <m/>
    <m/>
    <m/>
    <m/>
    <m/>
    <m/>
    <m/>
    <m/>
    <m/>
    <m/>
    <m/>
    <x v="0"/>
    <m/>
    <m/>
    <m/>
  </r>
  <r>
    <n v="478"/>
    <m/>
    <m/>
    <m/>
    <m/>
    <m/>
    <m/>
    <m/>
    <m/>
    <m/>
    <m/>
    <m/>
    <m/>
    <x v="0"/>
    <m/>
    <m/>
    <m/>
  </r>
  <r>
    <n v="479"/>
    <m/>
    <m/>
    <m/>
    <m/>
    <m/>
    <m/>
    <m/>
    <m/>
    <m/>
    <m/>
    <m/>
    <m/>
    <x v="0"/>
    <m/>
    <m/>
    <m/>
  </r>
  <r>
    <n v="480"/>
    <m/>
    <m/>
    <m/>
    <m/>
    <m/>
    <m/>
    <m/>
    <m/>
    <m/>
    <m/>
    <m/>
    <m/>
    <x v="0"/>
    <m/>
    <m/>
    <m/>
  </r>
  <r>
    <n v="481"/>
    <m/>
    <m/>
    <m/>
    <m/>
    <m/>
    <m/>
    <m/>
    <m/>
    <m/>
    <m/>
    <m/>
    <m/>
    <x v="0"/>
    <m/>
    <m/>
    <m/>
  </r>
  <r>
    <n v="482"/>
    <m/>
    <m/>
    <m/>
    <m/>
    <m/>
    <m/>
    <m/>
    <m/>
    <m/>
    <m/>
    <m/>
    <m/>
    <x v="0"/>
    <m/>
    <m/>
    <m/>
  </r>
  <r>
    <n v="483"/>
    <m/>
    <m/>
    <m/>
    <m/>
    <m/>
    <m/>
    <m/>
    <m/>
    <m/>
    <m/>
    <m/>
    <m/>
    <x v="0"/>
    <m/>
    <m/>
    <m/>
  </r>
  <r>
    <n v="484"/>
    <m/>
    <m/>
    <m/>
    <m/>
    <m/>
    <m/>
    <m/>
    <m/>
    <m/>
    <m/>
    <m/>
    <m/>
    <x v="0"/>
    <m/>
    <m/>
    <m/>
  </r>
  <r>
    <n v="485"/>
    <m/>
    <m/>
    <m/>
    <m/>
    <m/>
    <m/>
    <m/>
    <m/>
    <m/>
    <m/>
    <m/>
    <m/>
    <x v="0"/>
    <m/>
    <m/>
    <m/>
  </r>
  <r>
    <n v="486"/>
    <m/>
    <m/>
    <m/>
    <m/>
    <m/>
    <m/>
    <m/>
    <m/>
    <m/>
    <m/>
    <m/>
    <m/>
    <x v="0"/>
    <m/>
    <m/>
    <m/>
  </r>
  <r>
    <n v="487"/>
    <m/>
    <m/>
    <m/>
    <m/>
    <m/>
    <m/>
    <m/>
    <m/>
    <m/>
    <m/>
    <m/>
    <m/>
    <x v="0"/>
    <m/>
    <m/>
    <m/>
  </r>
  <r>
    <n v="488"/>
    <m/>
    <m/>
    <m/>
    <m/>
    <m/>
    <m/>
    <m/>
    <m/>
    <m/>
    <m/>
    <m/>
    <m/>
    <x v="0"/>
    <m/>
    <m/>
    <m/>
  </r>
  <r>
    <n v="489"/>
    <m/>
    <m/>
    <m/>
    <m/>
    <m/>
    <m/>
    <m/>
    <m/>
    <m/>
    <m/>
    <m/>
    <m/>
    <x v="0"/>
    <m/>
    <m/>
    <m/>
  </r>
  <r>
    <n v="490"/>
    <m/>
    <m/>
    <m/>
    <m/>
    <m/>
    <m/>
    <m/>
    <m/>
    <m/>
    <m/>
    <m/>
    <m/>
    <x v="0"/>
    <m/>
    <m/>
    <m/>
  </r>
  <r>
    <n v="491"/>
    <m/>
    <m/>
    <m/>
    <m/>
    <m/>
    <m/>
    <m/>
    <m/>
    <m/>
    <m/>
    <m/>
    <m/>
    <x v="0"/>
    <m/>
    <m/>
    <m/>
  </r>
  <r>
    <n v="492"/>
    <m/>
    <m/>
    <m/>
    <m/>
    <m/>
    <m/>
    <m/>
    <m/>
    <m/>
    <m/>
    <m/>
    <m/>
    <x v="0"/>
    <m/>
    <m/>
    <m/>
  </r>
  <r>
    <n v="493"/>
    <m/>
    <m/>
    <m/>
    <m/>
    <m/>
    <m/>
    <m/>
    <m/>
    <m/>
    <m/>
    <m/>
    <m/>
    <x v="0"/>
    <m/>
    <m/>
    <m/>
  </r>
  <r>
    <n v="494"/>
    <m/>
    <m/>
    <m/>
    <m/>
    <m/>
    <m/>
    <m/>
    <m/>
    <m/>
    <m/>
    <m/>
    <m/>
    <x v="0"/>
    <m/>
    <m/>
    <m/>
  </r>
  <r>
    <n v="495"/>
    <m/>
    <m/>
    <m/>
    <m/>
    <m/>
    <m/>
    <m/>
    <m/>
    <m/>
    <m/>
    <m/>
    <m/>
    <x v="0"/>
    <m/>
    <m/>
    <m/>
  </r>
  <r>
    <n v="496"/>
    <m/>
    <m/>
    <m/>
    <m/>
    <m/>
    <m/>
    <m/>
    <m/>
    <m/>
    <m/>
    <m/>
    <m/>
    <x v="0"/>
    <m/>
    <m/>
    <m/>
  </r>
  <r>
    <n v="497"/>
    <m/>
    <m/>
    <m/>
    <m/>
    <m/>
    <m/>
    <m/>
    <m/>
    <m/>
    <m/>
    <m/>
    <m/>
    <x v="0"/>
    <m/>
    <m/>
    <m/>
  </r>
  <r>
    <n v="498"/>
    <m/>
    <m/>
    <m/>
    <m/>
    <m/>
    <m/>
    <m/>
    <m/>
    <m/>
    <m/>
    <m/>
    <m/>
    <x v="0"/>
    <m/>
    <m/>
    <m/>
  </r>
  <r>
    <n v="499"/>
    <m/>
    <m/>
    <m/>
    <m/>
    <m/>
    <m/>
    <m/>
    <m/>
    <m/>
    <m/>
    <m/>
    <m/>
    <x v="0"/>
    <m/>
    <m/>
    <m/>
  </r>
  <r>
    <n v="500"/>
    <m/>
    <m/>
    <m/>
    <m/>
    <m/>
    <m/>
    <m/>
    <m/>
    <m/>
    <m/>
    <m/>
    <m/>
    <x v="0"/>
    <m/>
    <m/>
    <m/>
  </r>
  <r>
    <n v="501"/>
    <m/>
    <m/>
    <m/>
    <m/>
    <m/>
    <m/>
    <m/>
    <m/>
    <m/>
    <m/>
    <m/>
    <m/>
    <x v="0"/>
    <m/>
    <m/>
    <m/>
  </r>
  <r>
    <n v="502"/>
    <m/>
    <m/>
    <m/>
    <m/>
    <m/>
    <m/>
    <m/>
    <m/>
    <m/>
    <m/>
    <m/>
    <m/>
    <x v="0"/>
    <m/>
    <m/>
    <m/>
  </r>
  <r>
    <n v="503"/>
    <m/>
    <m/>
    <m/>
    <m/>
    <m/>
    <m/>
    <m/>
    <m/>
    <m/>
    <m/>
    <m/>
    <m/>
    <x v="0"/>
    <m/>
    <m/>
    <m/>
  </r>
  <r>
    <n v="504"/>
    <m/>
    <m/>
    <m/>
    <m/>
    <m/>
    <m/>
    <m/>
    <m/>
    <m/>
    <m/>
    <m/>
    <m/>
    <x v="0"/>
    <m/>
    <m/>
    <m/>
  </r>
  <r>
    <n v="505"/>
    <m/>
    <m/>
    <m/>
    <m/>
    <m/>
    <m/>
    <m/>
    <m/>
    <m/>
    <m/>
    <m/>
    <m/>
    <x v="0"/>
    <m/>
    <m/>
    <m/>
  </r>
  <r>
    <n v="506"/>
    <m/>
    <m/>
    <m/>
    <m/>
    <m/>
    <m/>
    <m/>
    <m/>
    <m/>
    <m/>
    <m/>
    <m/>
    <x v="0"/>
    <m/>
    <m/>
    <m/>
  </r>
  <r>
    <n v="507"/>
    <m/>
    <m/>
    <m/>
    <m/>
    <m/>
    <m/>
    <m/>
    <m/>
    <m/>
    <m/>
    <m/>
    <m/>
    <x v="0"/>
    <m/>
    <m/>
    <m/>
  </r>
  <r>
    <n v="508"/>
    <m/>
    <m/>
    <m/>
    <m/>
    <m/>
    <m/>
    <m/>
    <m/>
    <m/>
    <m/>
    <m/>
    <m/>
    <x v="0"/>
    <m/>
    <m/>
    <m/>
  </r>
  <r>
    <n v="509"/>
    <m/>
    <m/>
    <m/>
    <m/>
    <m/>
    <m/>
    <m/>
    <m/>
    <m/>
    <m/>
    <m/>
    <m/>
    <x v="0"/>
    <m/>
    <m/>
    <m/>
  </r>
  <r>
    <n v="510"/>
    <m/>
    <m/>
    <m/>
    <m/>
    <m/>
    <m/>
    <m/>
    <m/>
    <m/>
    <m/>
    <m/>
    <m/>
    <x v="0"/>
    <m/>
    <m/>
    <m/>
  </r>
  <r>
    <n v="511"/>
    <m/>
    <m/>
    <m/>
    <m/>
    <m/>
    <m/>
    <m/>
    <m/>
    <m/>
    <m/>
    <m/>
    <m/>
    <x v="0"/>
    <m/>
    <m/>
    <m/>
  </r>
  <r>
    <n v="512"/>
    <m/>
    <m/>
    <m/>
    <m/>
    <m/>
    <m/>
    <m/>
    <m/>
    <m/>
    <m/>
    <m/>
    <m/>
    <x v="0"/>
    <m/>
    <m/>
    <m/>
  </r>
  <r>
    <n v="513"/>
    <m/>
    <m/>
    <m/>
    <m/>
    <m/>
    <m/>
    <m/>
    <m/>
    <m/>
    <m/>
    <m/>
    <m/>
    <x v="0"/>
    <m/>
    <m/>
    <m/>
  </r>
  <r>
    <n v="514"/>
    <m/>
    <m/>
    <m/>
    <m/>
    <m/>
    <m/>
    <m/>
    <m/>
    <m/>
    <m/>
    <m/>
    <m/>
    <x v="0"/>
    <m/>
    <m/>
    <m/>
  </r>
  <r>
    <n v="515"/>
    <m/>
    <m/>
    <m/>
    <m/>
    <m/>
    <m/>
    <m/>
    <m/>
    <m/>
    <m/>
    <m/>
    <m/>
    <x v="0"/>
    <m/>
    <m/>
    <m/>
  </r>
  <r>
    <n v="516"/>
    <m/>
    <m/>
    <m/>
    <m/>
    <m/>
    <m/>
    <m/>
    <m/>
    <m/>
    <m/>
    <m/>
    <m/>
    <x v="0"/>
    <m/>
    <m/>
    <m/>
  </r>
  <r>
    <n v="517"/>
    <m/>
    <m/>
    <m/>
    <m/>
    <m/>
    <m/>
    <m/>
    <m/>
    <m/>
    <m/>
    <m/>
    <m/>
    <x v="0"/>
    <m/>
    <m/>
    <m/>
  </r>
  <r>
    <n v="518"/>
    <m/>
    <m/>
    <m/>
    <m/>
    <m/>
    <m/>
    <m/>
    <m/>
    <m/>
    <m/>
    <m/>
    <m/>
    <x v="0"/>
    <m/>
    <m/>
    <m/>
  </r>
  <r>
    <n v="519"/>
    <m/>
    <m/>
    <m/>
    <m/>
    <m/>
    <m/>
    <m/>
    <m/>
    <m/>
    <m/>
    <m/>
    <m/>
    <x v="0"/>
    <m/>
    <m/>
    <m/>
  </r>
  <r>
    <n v="520"/>
    <m/>
    <m/>
    <m/>
    <m/>
    <m/>
    <m/>
    <m/>
    <m/>
    <m/>
    <m/>
    <m/>
    <m/>
    <x v="0"/>
    <m/>
    <m/>
    <m/>
  </r>
  <r>
    <n v="521"/>
    <m/>
    <m/>
    <m/>
    <m/>
    <m/>
    <m/>
    <m/>
    <m/>
    <m/>
    <m/>
    <m/>
    <m/>
    <x v="0"/>
    <m/>
    <m/>
    <m/>
  </r>
  <r>
    <n v="522"/>
    <m/>
    <m/>
    <m/>
    <m/>
    <m/>
    <m/>
    <m/>
    <m/>
    <m/>
    <m/>
    <m/>
    <m/>
    <x v="0"/>
    <m/>
    <m/>
    <m/>
  </r>
  <r>
    <n v="523"/>
    <m/>
    <m/>
    <m/>
    <m/>
    <m/>
    <m/>
    <m/>
    <m/>
    <m/>
    <m/>
    <m/>
    <m/>
    <x v="0"/>
    <m/>
    <m/>
    <m/>
  </r>
  <r>
    <n v="524"/>
    <m/>
    <m/>
    <m/>
    <m/>
    <m/>
    <m/>
    <m/>
    <m/>
    <m/>
    <m/>
    <m/>
    <m/>
    <x v="0"/>
    <m/>
    <m/>
    <m/>
  </r>
  <r>
    <n v="525"/>
    <m/>
    <m/>
    <m/>
    <m/>
    <m/>
    <m/>
    <m/>
    <m/>
    <m/>
    <m/>
    <m/>
    <m/>
    <x v="0"/>
    <m/>
    <m/>
    <m/>
  </r>
  <r>
    <n v="526"/>
    <m/>
    <m/>
    <m/>
    <m/>
    <m/>
    <m/>
    <m/>
    <m/>
    <m/>
    <m/>
    <m/>
    <m/>
    <x v="0"/>
    <m/>
    <m/>
    <m/>
  </r>
  <r>
    <n v="527"/>
    <m/>
    <m/>
    <m/>
    <m/>
    <m/>
    <m/>
    <m/>
    <m/>
    <m/>
    <m/>
    <m/>
    <m/>
    <x v="0"/>
    <m/>
    <m/>
    <m/>
  </r>
  <r>
    <n v="528"/>
    <m/>
    <m/>
    <m/>
    <m/>
    <m/>
    <m/>
    <m/>
    <m/>
    <m/>
    <m/>
    <m/>
    <m/>
    <x v="0"/>
    <m/>
    <m/>
    <m/>
  </r>
  <r>
    <n v="529"/>
    <m/>
    <m/>
    <m/>
    <m/>
    <m/>
    <m/>
    <m/>
    <m/>
    <m/>
    <m/>
    <m/>
    <m/>
    <x v="0"/>
    <m/>
    <m/>
    <m/>
  </r>
  <r>
    <n v="530"/>
    <m/>
    <m/>
    <m/>
    <m/>
    <m/>
    <m/>
    <m/>
    <m/>
    <m/>
    <m/>
    <m/>
    <m/>
    <x v="0"/>
    <m/>
    <m/>
    <m/>
  </r>
  <r>
    <n v="531"/>
    <m/>
    <m/>
    <m/>
    <m/>
    <m/>
    <m/>
    <m/>
    <m/>
    <m/>
    <m/>
    <m/>
    <m/>
    <x v="0"/>
    <m/>
    <m/>
    <m/>
  </r>
  <r>
    <n v="532"/>
    <m/>
    <m/>
    <m/>
    <m/>
    <m/>
    <m/>
    <m/>
    <m/>
    <m/>
    <m/>
    <m/>
    <m/>
    <x v="0"/>
    <m/>
    <m/>
    <m/>
  </r>
  <r>
    <n v="533"/>
    <m/>
    <m/>
    <m/>
    <m/>
    <m/>
    <m/>
    <m/>
    <m/>
    <m/>
    <m/>
    <m/>
    <m/>
    <x v="0"/>
    <m/>
    <m/>
    <m/>
  </r>
  <r>
    <n v="534"/>
    <m/>
    <m/>
    <m/>
    <m/>
    <m/>
    <m/>
    <m/>
    <m/>
    <m/>
    <m/>
    <m/>
    <m/>
    <x v="0"/>
    <m/>
    <m/>
    <m/>
  </r>
  <r>
    <n v="535"/>
    <m/>
    <m/>
    <m/>
    <m/>
    <m/>
    <m/>
    <m/>
    <m/>
    <m/>
    <m/>
    <m/>
    <m/>
    <x v="0"/>
    <m/>
    <m/>
    <m/>
  </r>
  <r>
    <n v="536"/>
    <m/>
    <m/>
    <m/>
    <m/>
    <m/>
    <m/>
    <m/>
    <m/>
    <m/>
    <m/>
    <m/>
    <m/>
    <x v="0"/>
    <m/>
    <m/>
    <m/>
  </r>
  <r>
    <n v="537"/>
    <m/>
    <m/>
    <m/>
    <m/>
    <m/>
    <m/>
    <m/>
    <m/>
    <m/>
    <m/>
    <m/>
    <m/>
    <x v="0"/>
    <m/>
    <m/>
    <m/>
  </r>
  <r>
    <n v="538"/>
    <m/>
    <m/>
    <m/>
    <m/>
    <m/>
    <m/>
    <m/>
    <m/>
    <m/>
    <m/>
    <m/>
    <m/>
    <x v="0"/>
    <m/>
    <m/>
    <m/>
  </r>
  <r>
    <n v="539"/>
    <m/>
    <m/>
    <m/>
    <m/>
    <m/>
    <m/>
    <m/>
    <m/>
    <m/>
    <m/>
    <m/>
    <m/>
    <x v="0"/>
    <m/>
    <m/>
    <m/>
  </r>
  <r>
    <n v="540"/>
    <m/>
    <m/>
    <m/>
    <m/>
    <m/>
    <m/>
    <m/>
    <m/>
    <m/>
    <m/>
    <m/>
    <m/>
    <x v="0"/>
    <m/>
    <m/>
    <m/>
  </r>
  <r>
    <n v="541"/>
    <m/>
    <m/>
    <m/>
    <m/>
    <m/>
    <m/>
    <m/>
    <m/>
    <m/>
    <m/>
    <m/>
    <m/>
    <x v="0"/>
    <m/>
    <m/>
    <m/>
  </r>
  <r>
    <n v="542"/>
    <m/>
    <m/>
    <m/>
    <m/>
    <m/>
    <m/>
    <m/>
    <m/>
    <m/>
    <m/>
    <m/>
    <m/>
    <x v="0"/>
    <m/>
    <m/>
    <m/>
  </r>
  <r>
    <n v="543"/>
    <m/>
    <m/>
    <m/>
    <m/>
    <m/>
    <m/>
    <m/>
    <m/>
    <m/>
    <m/>
    <m/>
    <m/>
    <x v="0"/>
    <m/>
    <m/>
    <m/>
  </r>
  <r>
    <n v="544"/>
    <m/>
    <m/>
    <m/>
    <m/>
    <m/>
    <m/>
    <m/>
    <m/>
    <m/>
    <m/>
    <m/>
    <m/>
    <x v="0"/>
    <m/>
    <m/>
    <m/>
  </r>
  <r>
    <n v="545"/>
    <m/>
    <m/>
    <m/>
    <m/>
    <m/>
    <m/>
    <m/>
    <m/>
    <m/>
    <m/>
    <m/>
    <m/>
    <x v="0"/>
    <m/>
    <m/>
    <m/>
  </r>
  <r>
    <n v="546"/>
    <m/>
    <m/>
    <m/>
    <m/>
    <m/>
    <m/>
    <m/>
    <m/>
    <m/>
    <m/>
    <m/>
    <m/>
    <x v="0"/>
    <m/>
    <m/>
    <m/>
  </r>
  <r>
    <n v="547"/>
    <m/>
    <m/>
    <m/>
    <m/>
    <m/>
    <m/>
    <m/>
    <m/>
    <m/>
    <m/>
    <m/>
    <m/>
    <x v="0"/>
    <m/>
    <m/>
    <m/>
  </r>
  <r>
    <n v="548"/>
    <m/>
    <m/>
    <m/>
    <m/>
    <m/>
    <m/>
    <m/>
    <m/>
    <m/>
    <m/>
    <m/>
    <m/>
    <x v="0"/>
    <m/>
    <m/>
    <m/>
  </r>
  <r>
    <n v="549"/>
    <m/>
    <m/>
    <m/>
    <m/>
    <m/>
    <m/>
    <m/>
    <m/>
    <m/>
    <m/>
    <m/>
    <m/>
    <x v="0"/>
    <m/>
    <m/>
    <m/>
  </r>
  <r>
    <n v="550"/>
    <m/>
    <m/>
    <m/>
    <m/>
    <m/>
    <m/>
    <m/>
    <m/>
    <m/>
    <m/>
    <m/>
    <m/>
    <x v="0"/>
    <m/>
    <m/>
    <m/>
  </r>
  <r>
    <n v="551"/>
    <m/>
    <m/>
    <m/>
    <m/>
    <m/>
    <m/>
    <m/>
    <m/>
    <m/>
    <m/>
    <m/>
    <m/>
    <x v="0"/>
    <m/>
    <m/>
    <m/>
  </r>
  <r>
    <n v="552"/>
    <m/>
    <m/>
    <m/>
    <m/>
    <m/>
    <m/>
    <m/>
    <m/>
    <m/>
    <m/>
    <m/>
    <m/>
    <x v="0"/>
    <m/>
    <m/>
    <m/>
  </r>
  <r>
    <n v="553"/>
    <m/>
    <m/>
    <m/>
    <m/>
    <m/>
    <m/>
    <m/>
    <m/>
    <m/>
    <m/>
    <m/>
    <m/>
    <x v="0"/>
    <m/>
    <m/>
    <m/>
  </r>
  <r>
    <n v="554"/>
    <m/>
    <m/>
    <m/>
    <m/>
    <m/>
    <m/>
    <m/>
    <m/>
    <m/>
    <m/>
    <m/>
    <m/>
    <x v="0"/>
    <m/>
    <m/>
    <m/>
  </r>
  <r>
    <n v="555"/>
    <m/>
    <m/>
    <m/>
    <m/>
    <m/>
    <m/>
    <m/>
    <m/>
    <m/>
    <m/>
    <m/>
    <m/>
    <x v="0"/>
    <m/>
    <m/>
    <m/>
  </r>
  <r>
    <n v="556"/>
    <m/>
    <m/>
    <m/>
    <m/>
    <m/>
    <m/>
    <m/>
    <m/>
    <m/>
    <m/>
    <m/>
    <m/>
    <x v="0"/>
    <m/>
    <m/>
    <m/>
  </r>
  <r>
    <n v="557"/>
    <m/>
    <m/>
    <m/>
    <m/>
    <m/>
    <m/>
    <m/>
    <m/>
    <m/>
    <m/>
    <m/>
    <m/>
    <x v="0"/>
    <m/>
    <m/>
    <m/>
  </r>
  <r>
    <n v="558"/>
    <m/>
    <m/>
    <m/>
    <m/>
    <m/>
    <m/>
    <m/>
    <m/>
    <m/>
    <m/>
    <m/>
    <m/>
    <x v="0"/>
    <m/>
    <m/>
    <m/>
  </r>
  <r>
    <n v="559"/>
    <m/>
    <m/>
    <m/>
    <m/>
    <m/>
    <m/>
    <m/>
    <m/>
    <m/>
    <m/>
    <m/>
    <m/>
    <x v="0"/>
    <m/>
    <m/>
    <m/>
  </r>
  <r>
    <n v="560"/>
    <m/>
    <m/>
    <m/>
    <m/>
    <m/>
    <m/>
    <m/>
    <m/>
    <m/>
    <m/>
    <m/>
    <m/>
    <x v="0"/>
    <m/>
    <m/>
    <m/>
  </r>
  <r>
    <n v="561"/>
    <m/>
    <m/>
    <m/>
    <m/>
    <m/>
    <m/>
    <m/>
    <m/>
    <m/>
    <m/>
    <m/>
    <m/>
    <x v="0"/>
    <m/>
    <m/>
    <m/>
  </r>
  <r>
    <n v="562"/>
    <m/>
    <m/>
    <m/>
    <m/>
    <m/>
    <m/>
    <m/>
    <m/>
    <m/>
    <m/>
    <m/>
    <m/>
    <x v="0"/>
    <m/>
    <m/>
    <m/>
  </r>
  <r>
    <n v="563"/>
    <m/>
    <m/>
    <m/>
    <m/>
    <m/>
    <m/>
    <m/>
    <m/>
    <m/>
    <m/>
    <m/>
    <m/>
    <x v="0"/>
    <m/>
    <m/>
    <m/>
  </r>
  <r>
    <n v="564"/>
    <m/>
    <m/>
    <m/>
    <m/>
    <m/>
    <m/>
    <m/>
    <m/>
    <m/>
    <m/>
    <m/>
    <m/>
    <x v="0"/>
    <m/>
    <m/>
    <m/>
  </r>
  <r>
    <n v="565"/>
    <m/>
    <m/>
    <m/>
    <m/>
    <m/>
    <m/>
    <m/>
    <m/>
    <m/>
    <m/>
    <m/>
    <m/>
    <x v="0"/>
    <m/>
    <m/>
    <m/>
  </r>
  <r>
    <n v="566"/>
    <m/>
    <m/>
    <m/>
    <m/>
    <m/>
    <m/>
    <m/>
    <m/>
    <m/>
    <m/>
    <m/>
    <m/>
    <x v="0"/>
    <m/>
    <m/>
    <m/>
  </r>
  <r>
    <n v="567"/>
    <m/>
    <m/>
    <m/>
    <m/>
    <m/>
    <m/>
    <m/>
    <m/>
    <m/>
    <m/>
    <m/>
    <m/>
    <x v="0"/>
    <m/>
    <m/>
    <m/>
  </r>
  <r>
    <n v="568"/>
    <m/>
    <m/>
    <m/>
    <m/>
    <m/>
    <m/>
    <m/>
    <m/>
    <m/>
    <m/>
    <m/>
    <m/>
    <x v="0"/>
    <m/>
    <m/>
    <m/>
  </r>
  <r>
    <n v="569"/>
    <m/>
    <m/>
    <m/>
    <m/>
    <m/>
    <m/>
    <m/>
    <m/>
    <m/>
    <m/>
    <m/>
    <m/>
    <x v="0"/>
    <m/>
    <m/>
    <m/>
  </r>
  <r>
    <n v="570"/>
    <m/>
    <m/>
    <m/>
    <m/>
    <m/>
    <m/>
    <m/>
    <m/>
    <m/>
    <m/>
    <m/>
    <m/>
    <x v="0"/>
    <m/>
    <m/>
    <m/>
  </r>
  <r>
    <n v="571"/>
    <m/>
    <m/>
    <m/>
    <m/>
    <m/>
    <m/>
    <m/>
    <m/>
    <m/>
    <m/>
    <m/>
    <m/>
    <x v="0"/>
    <m/>
    <m/>
    <m/>
  </r>
  <r>
    <n v="572"/>
    <m/>
    <m/>
    <m/>
    <m/>
    <m/>
    <m/>
    <m/>
    <m/>
    <m/>
    <m/>
    <m/>
    <m/>
    <x v="0"/>
    <m/>
    <m/>
    <m/>
  </r>
  <r>
    <n v="573"/>
    <m/>
    <m/>
    <m/>
    <m/>
    <m/>
    <m/>
    <m/>
    <m/>
    <m/>
    <m/>
    <m/>
    <m/>
    <x v="0"/>
    <m/>
    <m/>
    <m/>
  </r>
  <r>
    <n v="574"/>
    <m/>
    <m/>
    <m/>
    <m/>
    <m/>
    <m/>
    <m/>
    <m/>
    <m/>
    <m/>
    <m/>
    <m/>
    <x v="0"/>
    <m/>
    <m/>
    <m/>
  </r>
  <r>
    <n v="575"/>
    <m/>
    <m/>
    <m/>
    <m/>
    <m/>
    <m/>
    <m/>
    <m/>
    <m/>
    <m/>
    <m/>
    <m/>
    <x v="0"/>
    <m/>
    <m/>
    <m/>
  </r>
  <r>
    <n v="576"/>
    <m/>
    <m/>
    <m/>
    <m/>
    <m/>
    <m/>
    <m/>
    <m/>
    <m/>
    <m/>
    <m/>
    <m/>
    <x v="0"/>
    <m/>
    <m/>
    <m/>
  </r>
  <r>
    <n v="577"/>
    <m/>
    <m/>
    <m/>
    <m/>
    <m/>
    <m/>
    <m/>
    <m/>
    <m/>
    <m/>
    <m/>
    <m/>
    <x v="0"/>
    <m/>
    <m/>
    <m/>
  </r>
  <r>
    <n v="578"/>
    <m/>
    <m/>
    <m/>
    <m/>
    <m/>
    <m/>
    <m/>
    <m/>
    <m/>
    <m/>
    <m/>
    <m/>
    <x v="0"/>
    <m/>
    <m/>
    <m/>
  </r>
  <r>
    <n v="579"/>
    <m/>
    <m/>
    <m/>
    <m/>
    <m/>
    <m/>
    <m/>
    <m/>
    <m/>
    <m/>
    <m/>
    <m/>
    <x v="0"/>
    <m/>
    <m/>
    <m/>
  </r>
  <r>
    <n v="580"/>
    <m/>
    <m/>
    <m/>
    <m/>
    <m/>
    <m/>
    <m/>
    <m/>
    <m/>
    <m/>
    <m/>
    <m/>
    <x v="0"/>
    <m/>
    <m/>
    <m/>
  </r>
  <r>
    <n v="581"/>
    <m/>
    <m/>
    <m/>
    <m/>
    <m/>
    <m/>
    <m/>
    <m/>
    <m/>
    <m/>
    <m/>
    <m/>
    <x v="0"/>
    <m/>
    <m/>
    <m/>
  </r>
  <r>
    <n v="582"/>
    <m/>
    <m/>
    <m/>
    <m/>
    <m/>
    <m/>
    <m/>
    <m/>
    <m/>
    <m/>
    <m/>
    <m/>
    <x v="0"/>
    <m/>
    <m/>
    <m/>
  </r>
  <r>
    <n v="583"/>
    <m/>
    <m/>
    <m/>
    <m/>
    <m/>
    <m/>
    <m/>
    <m/>
    <m/>
    <m/>
    <m/>
    <m/>
    <x v="0"/>
    <m/>
    <m/>
    <m/>
  </r>
  <r>
    <n v="584"/>
    <m/>
    <m/>
    <m/>
    <m/>
    <m/>
    <m/>
    <m/>
    <m/>
    <m/>
    <m/>
    <m/>
    <m/>
    <x v="0"/>
    <m/>
    <m/>
    <m/>
  </r>
  <r>
    <n v="585"/>
    <m/>
    <m/>
    <m/>
    <m/>
    <m/>
    <m/>
    <m/>
    <m/>
    <m/>
    <m/>
    <m/>
    <m/>
    <x v="0"/>
    <m/>
    <m/>
    <m/>
  </r>
  <r>
    <n v="586"/>
    <m/>
    <m/>
    <m/>
    <m/>
    <m/>
    <m/>
    <m/>
    <m/>
    <m/>
    <m/>
    <m/>
    <m/>
    <x v="0"/>
    <m/>
    <m/>
    <m/>
  </r>
  <r>
    <n v="587"/>
    <m/>
    <m/>
    <m/>
    <m/>
    <m/>
    <m/>
    <m/>
    <m/>
    <m/>
    <m/>
    <m/>
    <m/>
    <x v="0"/>
    <m/>
    <m/>
    <m/>
  </r>
  <r>
    <n v="588"/>
    <m/>
    <m/>
    <m/>
    <m/>
    <m/>
    <m/>
    <m/>
    <m/>
    <m/>
    <m/>
    <m/>
    <m/>
    <x v="0"/>
    <m/>
    <m/>
    <m/>
  </r>
  <r>
    <n v="589"/>
    <m/>
    <m/>
    <m/>
    <m/>
    <m/>
    <m/>
    <m/>
    <m/>
    <m/>
    <m/>
    <m/>
    <m/>
    <x v="0"/>
    <m/>
    <m/>
    <m/>
  </r>
  <r>
    <n v="590"/>
    <m/>
    <m/>
    <m/>
    <m/>
    <m/>
    <m/>
    <m/>
    <m/>
    <m/>
    <m/>
    <m/>
    <m/>
    <x v="0"/>
    <m/>
    <m/>
    <m/>
  </r>
  <r>
    <n v="591"/>
    <m/>
    <m/>
    <m/>
    <m/>
    <m/>
    <m/>
    <m/>
    <m/>
    <m/>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D03A6B-3646-46B6-9EC8-35BDA2799F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9" firstHeaderRow="1" firstDataRow="1" firstDataCol="1"/>
  <pivotFields count="17">
    <pivotField dataField="1" numFmtI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x="15"/>
        <item x="3"/>
        <item x="6"/>
        <item x="4"/>
        <item x="5"/>
        <item x="12"/>
        <item x="11"/>
        <item x="9"/>
        <item x="2"/>
        <item x="13"/>
        <item x="16"/>
        <item x="14"/>
        <item x="10"/>
        <item x="1"/>
        <item x="7"/>
        <item x="8"/>
        <item x="17"/>
        <item h="1" x="0"/>
        <item t="default"/>
      </items>
    </pivotField>
    <pivotField showAll="0"/>
    <pivotField showAll="0"/>
    <pivotField showAll="0"/>
  </pivotFields>
  <rowFields count="1">
    <field x="13"/>
  </rowFields>
  <rowItems count="18">
    <i>
      <x/>
    </i>
    <i>
      <x v="1"/>
    </i>
    <i>
      <x v="2"/>
    </i>
    <i>
      <x v="3"/>
    </i>
    <i>
      <x v="4"/>
    </i>
    <i>
      <x v="5"/>
    </i>
    <i>
      <x v="6"/>
    </i>
    <i>
      <x v="7"/>
    </i>
    <i>
      <x v="8"/>
    </i>
    <i>
      <x v="9"/>
    </i>
    <i>
      <x v="10"/>
    </i>
    <i>
      <x v="11"/>
    </i>
    <i>
      <x v="12"/>
    </i>
    <i>
      <x v="13"/>
    </i>
    <i>
      <x v="14"/>
    </i>
    <i>
      <x v="15"/>
    </i>
    <i>
      <x v="16"/>
    </i>
    <i t="grand">
      <x/>
    </i>
  </rowItems>
  <colItems count="1">
    <i/>
  </colItems>
  <dataFields count="1">
    <dataField name="Count of book_id" fld="0" subtotal="count" baseField="13" baseItem="0"/>
  </dataFields>
  <pivotTableStyleInfo name="PivotStyleLight2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8DD789-5DA6-475A-B59C-7137E6686F36}" name="main_table" displayName="main_table" ref="A1:Q112" totalsRowCount="1" headerRowDxfId="63" dataDxfId="62">
  <autoFilter ref="A1:Q111" xr:uid="{968DD789-5DA6-475A-B59C-7137E6686F36}"/>
  <sortState xmlns:xlrd2="http://schemas.microsoft.com/office/spreadsheetml/2017/richdata2" ref="A2:Q111">
    <sortCondition ref="B1:B111"/>
  </sortState>
  <tableColumns count="17">
    <tableColumn id="1" xr3:uid="{A78E246E-4D3A-424D-9812-2613FB18DDD6}" name="book_id" dataDxfId="61" totalsRowDxfId="16">
      <calculatedColumnFormula array="1">ROW()-ROW(main_table[#Headers])</calculatedColumnFormula>
    </tableColumn>
    <tableColumn id="16" xr3:uid="{5BEF33F1-EC08-4187-AB3C-AB0660919DF6}" name="read_order" dataDxfId="60" totalsRowDxfId="15"/>
    <tableColumn id="2" xr3:uid="{7883F058-B0F7-4D6F-99D8-2C22ED422759}" name="book_title" dataDxfId="59" totalsRowDxfId="14"/>
    <tableColumn id="3" xr3:uid="{5D72618B-3C37-42AF-B3E8-35A5248B82C2}" name="author_first_name" dataDxfId="58" totalsRowDxfId="13"/>
    <tableColumn id="4" xr3:uid="{312C8D6B-161E-467A-962C-A0A7EDD0750A}" name="author_last_name" dataDxfId="57" totalsRowDxfId="12"/>
    <tableColumn id="5" xr3:uid="{966ED26F-AA62-4F32-AF97-DEF7CA2275FC}" name="book_genre" dataDxfId="56" totalsRowDxfId="11"/>
    <tableColumn id="6" xr3:uid="{9177C52B-8464-48F0-A843-7D7322B88C3A}" name="format" dataDxfId="55" totalsRowDxfId="10"/>
    <tableColumn id="7" xr3:uid="{0024B7F3-3A9F-4197-BC39-22CA3A4D5FAB}" name="language" dataDxfId="54" totalsRowDxfId="9"/>
    <tableColumn id="8" xr3:uid="{C541DE48-4859-4213-8A78-47C0D09EA133}" name="pages" totalsRowFunction="sum" dataDxfId="53" totalsRowDxfId="8"/>
    <tableColumn id="19" xr3:uid="{B4C010A5-92CD-45E8-BABB-9888E88D25EC}" name="month_read" dataDxfId="52" totalsRowDxfId="7"/>
    <tableColumn id="10" xr3:uid="{3F9D60C8-41FA-41F0-9972-353306415617}" name="rating" dataDxfId="51" totalsRowDxfId="6"/>
    <tableColumn id="11" xr3:uid="{4828910E-A2F4-4097-8622-D0EA0D526B29}" name="owned" dataDxfId="50" totalsRowDxfId="5"/>
    <tableColumn id="12" xr3:uid="{AB8076DC-67B7-43EF-A9FD-8C001ED98A06}" name="series_number" dataDxfId="49" totalsRowDxfId="4"/>
    <tableColumn id="17" xr3:uid="{9F8D7702-CDC8-42B8-8F05-E968006F4A39}" name="series_name" dataDxfId="48" totalsRowDxfId="3"/>
    <tableColumn id="13" xr3:uid="{257C900F-E360-4D86-AEF1-76785796BA43}" name="year_published" dataDxfId="47" totalsRowDxfId="2"/>
    <tableColumn id="14" xr3:uid="{B3B0F747-64BA-4E54-AB75-8DFD00C79B18}" name="has_quotes" dataDxfId="46" totalsRowDxfId="1"/>
    <tableColumn id="15" xr3:uid="{88391754-5A74-4FAA-B1AE-58D9E201801D}" name="top_book" dataDxfId="45" totalsRowDxfId="0"/>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92BEF8-BDAE-4FB0-9768-009B1108272F}" name="quotes_table" displayName="quotes_table" ref="A1:D89" totalsRowShown="0" dataDxfId="44">
  <autoFilter ref="A1:D89" xr:uid="{7B92BEF8-BDAE-4FB0-9768-009B1108272F}"/>
  <tableColumns count="4">
    <tableColumn id="1" xr3:uid="{89E1E1C3-FDD6-48B4-88ED-D10C0759AECA}" name="Book_ID" dataDxfId="43">
      <calculatedColumnFormula>IF(quotes_table[[#This Row],[ read_order]] = "","",INDEX(main_table[book_id],quotes_table[[#This Row],[ read_order]]))</calculatedColumnFormula>
    </tableColumn>
    <tableColumn id="3" xr3:uid="{E3794C75-87C2-4AEF-BD56-C6ECB88A7CC3}" name=" read_order" dataDxfId="42">
      <calculatedColumnFormula>ISTEXT(A2)</calculatedColumnFormula>
    </tableColumn>
    <tableColumn id="4" xr3:uid="{A5C5D9C7-F762-412B-945F-4703871B8D6D}" name="book_title" dataDxfId="41">
      <calculatedColumnFormula>IF(quotes_table[[#This Row],[ read_order]] = "","",INDEX(main_table[book_title],quotes_table[[#This Row],[ read_order]]))</calculatedColumnFormula>
    </tableColumn>
    <tableColumn id="2" xr3:uid="{9A68F3D6-AAF9-4BE3-9432-49A9FFC057CC}" name="quote_text" dataDxfId="40"/>
  </tableColumns>
  <tableStyleInfo name="TableStyleMedium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42F550B-6D0A-47CE-977E-CB794809432D}" name="books_by_month" displayName="books_by_month" ref="A1:D14" totalsRowShown="0">
  <autoFilter ref="A1:D14" xr:uid="{042F550B-6D0A-47CE-977E-CB794809432D}"/>
  <tableColumns count="4">
    <tableColumn id="1" xr3:uid="{F982F564-B693-41E3-862C-24D56C6C53E7}" name="month"/>
    <tableColumn id="2" xr3:uid="{8907F9E3-B8F8-4477-B872-0E3FDA9A2DF4}" name="book_count" dataDxfId="39">
      <calculatedColumnFormula>COUNTIF(book_raw!J:J, books_by_month[[#This Row],[month]])</calculatedColumnFormula>
    </tableColumn>
    <tableColumn id="4" xr3:uid="{D190B199-72A2-4C29-AA75-D079B0D19843}" name="days_read" dataDxfId="38"/>
    <tableColumn id="3" xr3:uid="{ADEC1DC8-E783-4D26-B3FB-1897E1CD3CBB}" name="pages_read" dataDxfId="37">
      <calculatedColumnFormula>SUMIF(main_table[month_read],books_by_month[[#This Row],[month]],main_table[pages])</calculatedColumnFormula>
    </tableColumn>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81F171-BF8C-4825-9703-4ADF63F7803D}" name="Table7" displayName="Table7" ref="H6:I9" totalsRowShown="0">
  <autoFilter ref="H6:I9" xr:uid="{1D81F171-BF8C-4825-9703-4ADF63F7803D}"/>
  <tableColumns count="2">
    <tableColumn id="1" xr3:uid="{9BFBBBE9-8164-4ECF-B46E-47A274722AA5}" name="title_days_read_for_month"/>
    <tableColumn id="2" xr3:uid="{7B3C6661-F1F6-4C42-92C1-A774D478A337}" name="result" dataDxfId="36">
      <calculatedColumnFormula>MAX(B2:B14)</calculatedColumnFormula>
    </tableColumn>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7BF656-6866-4941-A764-959EC674AB18}" name="Table79" displayName="Table79" ref="H11:I14" totalsRowShown="0">
  <autoFilter ref="H11:I14" xr:uid="{0B7BF656-6866-4941-A764-959EC674AB18}"/>
  <tableColumns count="2">
    <tableColumn id="1" xr3:uid="{A7AB8A60-BFB7-4407-8084-C5215E178345}" name="title_pages_for_month"/>
    <tableColumn id="2" xr3:uid="{9F6F9083-84AF-48CD-857A-63DD9DFA4558}" name="result" dataDxfId="35">
      <calculatedColumnFormula>MAX(B7:B19)</calculatedColumnFormula>
    </tableColumn>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987D066-1D13-4E65-92F3-55D3EC12E0E8}" name="Table711" displayName="Table711" ref="H1:I4" totalsRowShown="0">
  <autoFilter ref="H1:I4" xr:uid="{2987D066-1D13-4E65-92F3-55D3EC12E0E8}"/>
  <tableColumns count="2">
    <tableColumn id="1" xr3:uid="{777EE7B0-15F6-47C7-86CD-EAAB93206B34}" name="title_books_count_for_month"/>
    <tableColumn id="2" xr3:uid="{B1230E7C-6FBB-427E-ABC7-BEBFC15B88B3}" name="result" dataDxfId="34">
      <calculatedColumnFormula>MAX(B2:B13)</calculatedColumnFormula>
    </tableColumn>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9DE9A4-8D83-4ECD-A107-0D71AAAFE096}" name="summary_2025_table" displayName="summary_2025_table" ref="A1:B8">
  <autoFilter ref="A1:B8" xr:uid="{6C9DE9A4-8D83-4ECD-A107-0D71AAAFE096}"/>
  <tableColumns count="2">
    <tableColumn id="1" xr3:uid="{A711665C-D5AF-489B-8D87-4408A15429AD}" name="Metric" totalsRowLabel="Total"/>
    <tableColumn id="2" xr3:uid="{A1B30D4A-C589-4DB5-9379-6E8B3214BD8E}" name="Count" totalsRowFunction="sum" dataDxfId="33"/>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564163-40B9-419A-9125-89EB961F4DDE}" name="book_series_all_table" displayName="book_series_all_table" ref="A1:F18" tableBorderDxfId="32">
  <autoFilter ref="A1:F18" xr:uid="{85564163-40B9-419A-9125-89EB961F4DDE}"/>
  <tableColumns count="6">
    <tableColumn id="1" xr3:uid="{5E339E27-7D69-4F6E-A588-1A5B2A47F8B7}" name="series_name" totalsRowLabel="Total" dataDxfId="31" totalsRowDxfId="30"/>
    <tableColumn id="3" xr3:uid="{9ABEF16A-2429-4415-B863-C112EB303900}" name="total_books_in_series" dataDxfId="29" totalsRowDxfId="28"/>
    <tableColumn id="10" xr3:uid="{DC4681D2-399D-4134-B528-E8523F8C98DC}" name="books_read" dataDxfId="27" totalsRowDxfId="26"/>
    <tableColumn id="6" xr3:uid="{114D503C-2B76-4350-807E-D4921BA55EB3}" name="left_to_read" dataDxfId="25" totalsRowDxfId="24">
      <calculatedColumnFormula>book_series_all_table[[#This Row],[total_books_in_series]] - book_series_all_table[[#This Row],[books_read]]</calculatedColumnFormula>
    </tableColumn>
    <tableColumn id="8" xr3:uid="{E036C16D-32C3-40E1-8DDF-BD2F7167BB3D}" name="actual_start_2025" dataDxfId="23" totalsRowDxfId="22"/>
    <tableColumn id="5" xr3:uid="{91191930-76BD-446B-B9BF-E1D298E778ED}" name="status" totalsRowFunction="count" dataDxfId="21">
      <calculatedColumnFormula>IF(book_series_all_table[[#This Row],[left_to_read]]=0,"completed","in progress")</calculatedColumnFormula>
    </tableColumn>
  </tableColumns>
  <tableStyleInfo name="TableStyleMedium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95118-006B-4418-8848-7FD5AC83D597}">
  <dimension ref="A1:Q112"/>
  <sheetViews>
    <sheetView tabSelected="1" topLeftCell="A96" zoomScaleNormal="100" workbookViewId="0">
      <selection activeCell="I112" sqref="I112"/>
    </sheetView>
  </sheetViews>
  <sheetFormatPr defaultRowHeight="15" x14ac:dyDescent="0.25"/>
  <cols>
    <col min="1" max="1" width="10.42578125" style="2" bestFit="1" customWidth="1"/>
    <col min="2" max="2" width="13.140625" style="3" customWidth="1"/>
    <col min="3" max="3" width="27.42578125" style="1" customWidth="1"/>
    <col min="4" max="4" width="19.85546875" style="1" customWidth="1"/>
    <col min="5" max="5" width="19.5703125" style="1" customWidth="1"/>
    <col min="6" max="6" width="14" style="1" customWidth="1"/>
    <col min="7" max="7" width="9.28515625" style="1" customWidth="1"/>
    <col min="8" max="8" width="11.28515625" style="3" bestFit="1" customWidth="1"/>
    <col min="9" max="9" width="8.5703125" style="3" customWidth="1"/>
    <col min="10" max="10" width="15.140625" style="3" customWidth="1"/>
    <col min="11" max="11" width="12.42578125" style="1" customWidth="1"/>
    <col min="12" max="12" width="11.5703125" style="1" customWidth="1"/>
    <col min="13" max="13" width="14.42578125" style="7" customWidth="1"/>
    <col min="14" max="14" width="16.5703125" style="2" customWidth="1"/>
    <col min="15" max="15" width="18.7109375" style="2" customWidth="1"/>
    <col min="16" max="16" width="16.85546875" style="1" customWidth="1"/>
    <col min="17" max="17" width="13.5703125" style="1" customWidth="1"/>
    <col min="18" max="18" width="12.140625" style="1" customWidth="1"/>
    <col min="19" max="16384" width="9.140625" style="1"/>
  </cols>
  <sheetData>
    <row r="1" spans="1:17" ht="30" x14ac:dyDescent="0.25">
      <c r="A1" s="21" t="s">
        <v>0</v>
      </c>
      <c r="B1" s="21" t="s">
        <v>99</v>
      </c>
      <c r="C1" s="21" t="s">
        <v>100</v>
      </c>
      <c r="D1" s="21" t="s">
        <v>9</v>
      </c>
      <c r="E1" s="21" t="s">
        <v>10</v>
      </c>
      <c r="F1" s="21" t="s">
        <v>105</v>
      </c>
      <c r="G1" s="21" t="s">
        <v>1</v>
      </c>
      <c r="H1" s="21" t="s">
        <v>2</v>
      </c>
      <c r="I1" s="21" t="s">
        <v>3</v>
      </c>
      <c r="J1" s="21" t="s">
        <v>444</v>
      </c>
      <c r="K1" s="21" t="s">
        <v>4</v>
      </c>
      <c r="L1" s="21" t="s">
        <v>5</v>
      </c>
      <c r="M1" s="21" t="s">
        <v>15</v>
      </c>
      <c r="N1" s="21" t="s">
        <v>311</v>
      </c>
      <c r="O1" s="21" t="s">
        <v>6</v>
      </c>
      <c r="P1" s="21" t="s">
        <v>7</v>
      </c>
      <c r="Q1" s="21" t="s">
        <v>16</v>
      </c>
    </row>
    <row r="2" spans="1:17" x14ac:dyDescent="0.25">
      <c r="A2" s="22" cm="1">
        <f t="array" ref="A2">ROW()-ROW(main_table[#Headers])</f>
        <v>1</v>
      </c>
      <c r="B2" s="22">
        <v>1</v>
      </c>
      <c r="C2" s="23" t="s">
        <v>8</v>
      </c>
      <c r="D2" s="23" t="s">
        <v>11</v>
      </c>
      <c r="E2" s="23" t="s">
        <v>12</v>
      </c>
      <c r="F2" s="22" t="s">
        <v>13</v>
      </c>
      <c r="G2" s="23" t="s">
        <v>19</v>
      </c>
      <c r="H2" s="23" t="s">
        <v>18</v>
      </c>
      <c r="I2" s="21">
        <v>189</v>
      </c>
      <c r="J2" s="21" t="s">
        <v>431</v>
      </c>
      <c r="K2" s="21">
        <v>5</v>
      </c>
      <c r="L2" s="23" t="s">
        <v>14</v>
      </c>
      <c r="M2" s="21"/>
      <c r="N2" s="22"/>
      <c r="O2" s="21">
        <v>1995</v>
      </c>
      <c r="P2" s="23" t="s">
        <v>14</v>
      </c>
      <c r="Q2" s="22" t="s">
        <v>17</v>
      </c>
    </row>
    <row r="3" spans="1:17" ht="30" x14ac:dyDescent="0.25">
      <c r="A3" s="22" cm="1">
        <f t="array" ref="A3">ROW()-ROW(main_table[#Headers])</f>
        <v>2</v>
      </c>
      <c r="B3" s="22">
        <v>2</v>
      </c>
      <c r="C3" s="23" t="s">
        <v>20</v>
      </c>
      <c r="D3" s="23" t="s">
        <v>25</v>
      </c>
      <c r="E3" s="23" t="s">
        <v>24</v>
      </c>
      <c r="F3" s="22" t="s">
        <v>26</v>
      </c>
      <c r="G3" s="23" t="s">
        <v>19</v>
      </c>
      <c r="H3" s="23" t="s">
        <v>18</v>
      </c>
      <c r="I3" s="21">
        <v>272</v>
      </c>
      <c r="J3" s="21" t="s">
        <v>431</v>
      </c>
      <c r="K3" s="21">
        <v>5</v>
      </c>
      <c r="L3" s="23" t="s">
        <v>29</v>
      </c>
      <c r="M3" s="21"/>
      <c r="N3" s="22"/>
      <c r="O3" s="21">
        <v>1997</v>
      </c>
      <c r="P3" s="23" t="s">
        <v>14</v>
      </c>
      <c r="Q3" s="22"/>
    </row>
    <row r="4" spans="1:17" ht="30" x14ac:dyDescent="0.25">
      <c r="A4" s="22" cm="1">
        <f t="array" ref="A4">ROW()-ROW(main_table[#Headers])</f>
        <v>3</v>
      </c>
      <c r="B4" s="22">
        <v>3</v>
      </c>
      <c r="C4" s="23" t="s">
        <v>21</v>
      </c>
      <c r="D4" s="23" t="s">
        <v>22</v>
      </c>
      <c r="E4" s="23" t="s">
        <v>23</v>
      </c>
      <c r="F4" s="22" t="s">
        <v>54</v>
      </c>
      <c r="G4" s="23" t="s">
        <v>19</v>
      </c>
      <c r="H4" s="23" t="s">
        <v>18</v>
      </c>
      <c r="I4" s="21">
        <v>504</v>
      </c>
      <c r="J4" s="21" t="s">
        <v>431</v>
      </c>
      <c r="K4" s="21">
        <v>5</v>
      </c>
      <c r="L4" s="23" t="s">
        <v>14</v>
      </c>
      <c r="M4" s="21"/>
      <c r="N4" s="22"/>
      <c r="O4" s="21">
        <v>1936</v>
      </c>
      <c r="P4" s="23" t="s">
        <v>14</v>
      </c>
      <c r="Q4" s="22" t="s">
        <v>17</v>
      </c>
    </row>
    <row r="5" spans="1:17" ht="30" x14ac:dyDescent="0.25">
      <c r="A5" s="22" cm="1">
        <f t="array" ref="A5">ROW()-ROW(main_table[#Headers])</f>
        <v>4</v>
      </c>
      <c r="B5" s="22">
        <v>4</v>
      </c>
      <c r="C5" s="23" t="s">
        <v>27</v>
      </c>
      <c r="D5" s="23" t="s">
        <v>31</v>
      </c>
      <c r="E5" s="23" t="s">
        <v>28</v>
      </c>
      <c r="F5" s="22" t="s">
        <v>63</v>
      </c>
      <c r="G5" s="23" t="s">
        <v>19</v>
      </c>
      <c r="H5" s="23" t="s">
        <v>30</v>
      </c>
      <c r="I5" s="21">
        <v>288</v>
      </c>
      <c r="J5" s="21" t="s">
        <v>431</v>
      </c>
      <c r="K5" s="21">
        <v>4</v>
      </c>
      <c r="L5" s="23" t="s">
        <v>14</v>
      </c>
      <c r="M5" s="21"/>
      <c r="N5" s="22"/>
      <c r="O5" s="21">
        <v>1910</v>
      </c>
      <c r="P5" s="23" t="s">
        <v>14</v>
      </c>
      <c r="Q5" s="22"/>
    </row>
    <row r="6" spans="1:17" ht="45" x14ac:dyDescent="0.25">
      <c r="A6" s="22" cm="1">
        <f t="array" ref="A6">ROW()-ROW(main_table[#Headers])</f>
        <v>5</v>
      </c>
      <c r="B6" s="22">
        <v>5</v>
      </c>
      <c r="C6" s="23" t="s">
        <v>32</v>
      </c>
      <c r="D6" s="23" t="s">
        <v>33</v>
      </c>
      <c r="E6" s="23" t="s">
        <v>34</v>
      </c>
      <c r="F6" s="22" t="s">
        <v>40</v>
      </c>
      <c r="G6" s="23" t="s">
        <v>35</v>
      </c>
      <c r="H6" s="23" t="s">
        <v>18</v>
      </c>
      <c r="I6" s="21">
        <v>400</v>
      </c>
      <c r="J6" s="21" t="s">
        <v>431</v>
      </c>
      <c r="K6" s="21">
        <v>5</v>
      </c>
      <c r="L6" s="23" t="s">
        <v>29</v>
      </c>
      <c r="M6" s="21">
        <v>2</v>
      </c>
      <c r="N6" s="22" t="s">
        <v>313</v>
      </c>
      <c r="O6" s="21">
        <v>2017</v>
      </c>
      <c r="P6" s="23" t="s">
        <v>14</v>
      </c>
      <c r="Q6" s="22"/>
    </row>
    <row r="7" spans="1:17" ht="30" x14ac:dyDescent="0.25">
      <c r="A7" s="22" cm="1">
        <f t="array" ref="A7">ROW()-ROW(main_table[#Headers])</f>
        <v>6</v>
      </c>
      <c r="B7" s="22">
        <v>6</v>
      </c>
      <c r="C7" s="23" t="s">
        <v>36</v>
      </c>
      <c r="D7" s="23" t="s">
        <v>64</v>
      </c>
      <c r="E7" s="23" t="s">
        <v>37</v>
      </c>
      <c r="F7" s="22" t="s">
        <v>65</v>
      </c>
      <c r="G7" s="23" t="s">
        <v>38</v>
      </c>
      <c r="H7" s="23" t="s">
        <v>18</v>
      </c>
      <c r="I7" s="21">
        <v>544</v>
      </c>
      <c r="J7" s="21" t="s">
        <v>433</v>
      </c>
      <c r="K7" s="21">
        <v>4</v>
      </c>
      <c r="L7" s="23" t="s">
        <v>14</v>
      </c>
      <c r="M7" s="21"/>
      <c r="N7" s="22"/>
      <c r="O7" s="21">
        <v>2020</v>
      </c>
      <c r="P7" s="23" t="s">
        <v>14</v>
      </c>
      <c r="Q7" s="22"/>
    </row>
    <row r="8" spans="1:17" ht="45" x14ac:dyDescent="0.25">
      <c r="A8" s="22" cm="1">
        <f t="array" ref="A8">ROW()-ROW(main_table[#Headers])</f>
        <v>7</v>
      </c>
      <c r="B8" s="22">
        <v>7</v>
      </c>
      <c r="C8" s="23" t="s">
        <v>41</v>
      </c>
      <c r="D8" s="23" t="s">
        <v>33</v>
      </c>
      <c r="E8" s="23" t="s">
        <v>34</v>
      </c>
      <c r="F8" s="22" t="s">
        <v>40</v>
      </c>
      <c r="G8" s="23" t="s">
        <v>35</v>
      </c>
      <c r="H8" s="23" t="s">
        <v>18</v>
      </c>
      <c r="I8" s="21">
        <v>352</v>
      </c>
      <c r="J8" s="21" t="s">
        <v>433</v>
      </c>
      <c r="K8" s="21">
        <v>5</v>
      </c>
      <c r="L8" s="23" t="s">
        <v>29</v>
      </c>
      <c r="M8" s="21">
        <v>3</v>
      </c>
      <c r="N8" s="22" t="s">
        <v>313</v>
      </c>
      <c r="O8" s="21">
        <v>2018</v>
      </c>
      <c r="P8" s="23" t="s">
        <v>29</v>
      </c>
      <c r="Q8" s="22"/>
    </row>
    <row r="9" spans="1:17" ht="30" x14ac:dyDescent="0.25">
      <c r="A9" s="22" cm="1">
        <f t="array" ref="A9">ROW()-ROW(main_table[#Headers])</f>
        <v>8</v>
      </c>
      <c r="B9" s="22">
        <v>8</v>
      </c>
      <c r="C9" s="23" t="s">
        <v>42</v>
      </c>
      <c r="D9" s="23" t="s">
        <v>44</v>
      </c>
      <c r="E9" s="23" t="s">
        <v>43</v>
      </c>
      <c r="F9" s="22" t="s">
        <v>55</v>
      </c>
      <c r="G9" s="23" t="s">
        <v>38</v>
      </c>
      <c r="H9" s="23" t="s">
        <v>18</v>
      </c>
      <c r="I9" s="21">
        <v>304</v>
      </c>
      <c r="J9" s="21" t="s">
        <v>433</v>
      </c>
      <c r="K9" s="21">
        <v>5</v>
      </c>
      <c r="L9" s="23" t="s">
        <v>14</v>
      </c>
      <c r="M9" s="21">
        <v>1</v>
      </c>
      <c r="N9" s="22" t="s">
        <v>324</v>
      </c>
      <c r="O9" s="21">
        <v>2019</v>
      </c>
      <c r="P9" s="23" t="s">
        <v>14</v>
      </c>
      <c r="Q9" s="22" t="s">
        <v>17</v>
      </c>
    </row>
    <row r="10" spans="1:17" ht="45" x14ac:dyDescent="0.25">
      <c r="A10" s="22" cm="1">
        <f t="array" ref="A10">ROW()-ROW(main_table[#Headers])</f>
        <v>9</v>
      </c>
      <c r="B10" s="22">
        <v>9</v>
      </c>
      <c r="C10" s="23" t="s">
        <v>45</v>
      </c>
      <c r="D10" s="23" t="s">
        <v>46</v>
      </c>
      <c r="E10" s="23" t="s">
        <v>47</v>
      </c>
      <c r="F10" s="22" t="s">
        <v>166</v>
      </c>
      <c r="G10" s="23" t="s">
        <v>35</v>
      </c>
      <c r="H10" s="23" t="s">
        <v>18</v>
      </c>
      <c r="I10" s="21">
        <v>240</v>
      </c>
      <c r="J10" s="21" t="s">
        <v>433</v>
      </c>
      <c r="K10" s="21">
        <v>4</v>
      </c>
      <c r="L10" s="23" t="s">
        <v>29</v>
      </c>
      <c r="M10" s="21"/>
      <c r="N10" s="22"/>
      <c r="O10" s="21">
        <v>1888</v>
      </c>
      <c r="P10" s="23" t="s">
        <v>14</v>
      </c>
      <c r="Q10" s="22"/>
    </row>
    <row r="11" spans="1:17" x14ac:dyDescent="0.25">
      <c r="A11" s="22" cm="1">
        <f t="array" ref="A11">ROW()-ROW(main_table[#Headers])</f>
        <v>10</v>
      </c>
      <c r="B11" s="22">
        <v>10</v>
      </c>
      <c r="C11" s="23" t="s">
        <v>48</v>
      </c>
      <c r="D11" s="23" t="s">
        <v>49</v>
      </c>
      <c r="E11" s="23" t="s">
        <v>50</v>
      </c>
      <c r="F11" s="22" t="s">
        <v>40</v>
      </c>
      <c r="G11" s="23" t="s">
        <v>38</v>
      </c>
      <c r="H11" s="23" t="s">
        <v>18</v>
      </c>
      <c r="I11" s="21">
        <v>608</v>
      </c>
      <c r="J11" s="21" t="s">
        <v>433</v>
      </c>
      <c r="K11" s="21">
        <v>5</v>
      </c>
      <c r="L11" s="23" t="s">
        <v>14</v>
      </c>
      <c r="M11" s="21"/>
      <c r="N11" s="22"/>
      <c r="O11" s="21">
        <v>2023</v>
      </c>
      <c r="P11" s="23" t="s">
        <v>14</v>
      </c>
      <c r="Q11" s="22" t="s">
        <v>17</v>
      </c>
    </row>
    <row r="12" spans="1:17" ht="30" x14ac:dyDescent="0.25">
      <c r="A12" s="22" cm="1">
        <f t="array" ref="A12">ROW()-ROW(main_table[#Headers])</f>
        <v>11</v>
      </c>
      <c r="B12" s="22">
        <v>11</v>
      </c>
      <c r="C12" s="23" t="s">
        <v>51</v>
      </c>
      <c r="D12" s="23" t="s">
        <v>52</v>
      </c>
      <c r="E12" s="23" t="s">
        <v>56</v>
      </c>
      <c r="F12" s="22" t="s">
        <v>53</v>
      </c>
      <c r="G12" s="23" t="s">
        <v>38</v>
      </c>
      <c r="H12" s="23" t="s">
        <v>18</v>
      </c>
      <c r="I12" s="21">
        <v>448</v>
      </c>
      <c r="J12" s="21" t="s">
        <v>433</v>
      </c>
      <c r="K12" s="21">
        <v>5</v>
      </c>
      <c r="L12" s="23" t="s">
        <v>14</v>
      </c>
      <c r="M12" s="21"/>
      <c r="N12" s="22"/>
      <c r="O12" s="21">
        <v>2023</v>
      </c>
      <c r="P12" s="23" t="s">
        <v>14</v>
      </c>
      <c r="Q12" s="22" t="s">
        <v>17</v>
      </c>
    </row>
    <row r="13" spans="1:17" ht="30" x14ac:dyDescent="0.25">
      <c r="A13" s="22" cm="1">
        <f t="array" ref="A13">ROW()-ROW(main_table[#Headers])</f>
        <v>12</v>
      </c>
      <c r="B13" s="22">
        <v>12</v>
      </c>
      <c r="C13" s="23" t="s">
        <v>57</v>
      </c>
      <c r="D13" s="23" t="s">
        <v>60</v>
      </c>
      <c r="E13" s="23" t="s">
        <v>58</v>
      </c>
      <c r="F13" s="22" t="s">
        <v>59</v>
      </c>
      <c r="G13" s="23" t="s">
        <v>35</v>
      </c>
      <c r="H13" s="23" t="s">
        <v>18</v>
      </c>
      <c r="I13" s="21">
        <v>288</v>
      </c>
      <c r="J13" s="21" t="s">
        <v>433</v>
      </c>
      <c r="K13" s="21">
        <v>5</v>
      </c>
      <c r="L13" s="23" t="s">
        <v>29</v>
      </c>
      <c r="M13" s="21"/>
      <c r="N13" s="22"/>
      <c r="O13" s="21">
        <v>2007</v>
      </c>
      <c r="P13" s="23" t="s">
        <v>29</v>
      </c>
      <c r="Q13" s="22"/>
    </row>
    <row r="14" spans="1:17" x14ac:dyDescent="0.25">
      <c r="A14" s="22" cm="1">
        <f t="array" ref="A14">ROW()-ROW(main_table[#Headers])</f>
        <v>13</v>
      </c>
      <c r="B14" s="22">
        <v>13</v>
      </c>
      <c r="C14" s="23" t="s">
        <v>66</v>
      </c>
      <c r="D14" s="23" t="s">
        <v>67</v>
      </c>
      <c r="E14" s="23" t="s">
        <v>68</v>
      </c>
      <c r="F14" s="22" t="s">
        <v>13</v>
      </c>
      <c r="G14" s="23" t="s">
        <v>35</v>
      </c>
      <c r="H14" s="23" t="s">
        <v>18</v>
      </c>
      <c r="I14" s="21">
        <v>192</v>
      </c>
      <c r="J14" s="21" t="s">
        <v>432</v>
      </c>
      <c r="K14" s="21">
        <v>3</v>
      </c>
      <c r="L14" s="23" t="s">
        <v>29</v>
      </c>
      <c r="M14" s="21"/>
      <c r="N14" s="22"/>
      <c r="O14" s="21">
        <v>2006</v>
      </c>
      <c r="P14" s="23" t="s">
        <v>29</v>
      </c>
      <c r="Q14" s="22"/>
    </row>
    <row r="15" spans="1:17" ht="45" x14ac:dyDescent="0.25">
      <c r="A15" s="22" cm="1">
        <f t="array" ref="A15">ROW()-ROW(main_table[#Headers])</f>
        <v>14</v>
      </c>
      <c r="B15" s="22">
        <v>14</v>
      </c>
      <c r="C15" s="23" t="s">
        <v>61</v>
      </c>
      <c r="D15" s="23" t="s">
        <v>33</v>
      </c>
      <c r="E15" s="23" t="s">
        <v>34</v>
      </c>
      <c r="F15" s="22" t="s">
        <v>40</v>
      </c>
      <c r="G15" s="23" t="s">
        <v>35</v>
      </c>
      <c r="H15" s="23" t="s">
        <v>18</v>
      </c>
      <c r="I15" s="21">
        <v>400</v>
      </c>
      <c r="J15" s="21" t="s">
        <v>432</v>
      </c>
      <c r="K15" s="21">
        <v>4</v>
      </c>
      <c r="L15" s="23" t="s">
        <v>29</v>
      </c>
      <c r="M15" s="21">
        <v>4</v>
      </c>
      <c r="N15" s="22" t="s">
        <v>313</v>
      </c>
      <c r="O15" s="21">
        <v>2019</v>
      </c>
      <c r="P15" s="23" t="s">
        <v>14</v>
      </c>
      <c r="Q15" s="22"/>
    </row>
    <row r="16" spans="1:17" ht="30" x14ac:dyDescent="0.25">
      <c r="A16" s="22" cm="1">
        <f t="array" ref="A16">ROW()-ROW(main_table[#Headers])</f>
        <v>15</v>
      </c>
      <c r="B16" s="22">
        <v>15</v>
      </c>
      <c r="C16" s="23" t="s">
        <v>62</v>
      </c>
      <c r="D16" s="23" t="s">
        <v>52</v>
      </c>
      <c r="E16" s="23" t="s">
        <v>56</v>
      </c>
      <c r="F16" s="22" t="s">
        <v>53</v>
      </c>
      <c r="G16" s="23" t="s">
        <v>38</v>
      </c>
      <c r="H16" s="23" t="s">
        <v>18</v>
      </c>
      <c r="I16" s="21">
        <v>480</v>
      </c>
      <c r="J16" s="21" t="s">
        <v>432</v>
      </c>
      <c r="K16" s="21">
        <v>3</v>
      </c>
      <c r="L16" s="23" t="s">
        <v>14</v>
      </c>
      <c r="M16" s="21"/>
      <c r="N16" s="22"/>
      <c r="O16" s="21">
        <v>2005</v>
      </c>
      <c r="P16" s="23" t="s">
        <v>14</v>
      </c>
      <c r="Q16" s="22"/>
    </row>
    <row r="17" spans="1:17" ht="30" x14ac:dyDescent="0.25">
      <c r="A17" s="22" cm="1">
        <f t="array" ref="A17">ROW()-ROW(main_table[#Headers])</f>
        <v>16</v>
      </c>
      <c r="B17" s="22">
        <v>16</v>
      </c>
      <c r="C17" s="23" t="s">
        <v>69</v>
      </c>
      <c r="D17" s="23" t="s">
        <v>70</v>
      </c>
      <c r="E17" s="23" t="s">
        <v>71</v>
      </c>
      <c r="F17" s="22" t="s">
        <v>72</v>
      </c>
      <c r="G17" s="23" t="s">
        <v>19</v>
      </c>
      <c r="H17" s="23" t="s">
        <v>18</v>
      </c>
      <c r="I17" s="21">
        <v>188</v>
      </c>
      <c r="J17" s="21" t="s">
        <v>432</v>
      </c>
      <c r="K17" s="21">
        <v>4</v>
      </c>
      <c r="L17" s="23" t="s">
        <v>29</v>
      </c>
      <c r="M17" s="21"/>
      <c r="N17" s="22"/>
      <c r="O17" s="21">
        <v>2022</v>
      </c>
      <c r="P17" s="23" t="s">
        <v>14</v>
      </c>
      <c r="Q17" s="22"/>
    </row>
    <row r="18" spans="1:17" x14ac:dyDescent="0.25">
      <c r="A18" s="22" cm="1">
        <f t="array" ref="A18">ROW()-ROW(main_table[#Headers])</f>
        <v>17</v>
      </c>
      <c r="B18" s="22">
        <v>17</v>
      </c>
      <c r="C18" s="23" t="s">
        <v>73</v>
      </c>
      <c r="D18" s="23" t="s">
        <v>74</v>
      </c>
      <c r="E18" s="23" t="s">
        <v>75</v>
      </c>
      <c r="F18" s="22" t="s">
        <v>76</v>
      </c>
      <c r="G18" s="23" t="s">
        <v>35</v>
      </c>
      <c r="H18" s="23" t="s">
        <v>18</v>
      </c>
      <c r="I18" s="21">
        <v>400</v>
      </c>
      <c r="J18" s="21" t="s">
        <v>432</v>
      </c>
      <c r="K18" s="21">
        <v>5</v>
      </c>
      <c r="L18" s="23" t="s">
        <v>29</v>
      </c>
      <c r="M18" s="21">
        <v>1</v>
      </c>
      <c r="N18" s="22" t="s">
        <v>312</v>
      </c>
      <c r="O18" s="21">
        <v>1981</v>
      </c>
      <c r="P18" s="23" t="s">
        <v>14</v>
      </c>
      <c r="Q18" s="22" t="s">
        <v>17</v>
      </c>
    </row>
    <row r="19" spans="1:17" x14ac:dyDescent="0.25">
      <c r="A19" s="22" cm="1">
        <f t="array" ref="A19">ROW()-ROW(main_table[#Headers])</f>
        <v>18</v>
      </c>
      <c r="B19" s="22">
        <v>18</v>
      </c>
      <c r="C19" s="23" t="s">
        <v>80</v>
      </c>
      <c r="D19" s="23" t="s">
        <v>74</v>
      </c>
      <c r="E19" s="23" t="s">
        <v>75</v>
      </c>
      <c r="F19" s="22" t="s">
        <v>76</v>
      </c>
      <c r="G19" s="23" t="s">
        <v>35</v>
      </c>
      <c r="H19" s="23" t="s">
        <v>18</v>
      </c>
      <c r="I19" s="21">
        <v>338</v>
      </c>
      <c r="J19" s="21" t="s">
        <v>432</v>
      </c>
      <c r="K19" s="21">
        <v>5</v>
      </c>
      <c r="L19" s="23" t="s">
        <v>29</v>
      </c>
      <c r="M19" s="21">
        <v>2</v>
      </c>
      <c r="N19" s="22" t="s">
        <v>312</v>
      </c>
      <c r="O19" s="21">
        <v>1988</v>
      </c>
      <c r="P19" s="23" t="s">
        <v>14</v>
      </c>
      <c r="Q19" s="22" t="s">
        <v>17</v>
      </c>
    </row>
    <row r="20" spans="1:17" x14ac:dyDescent="0.25">
      <c r="A20" s="22" cm="1">
        <f t="array" ref="A20">ROW()-ROW(main_table[#Headers])</f>
        <v>19</v>
      </c>
      <c r="B20" s="22">
        <v>19</v>
      </c>
      <c r="C20" s="23" t="s">
        <v>77</v>
      </c>
      <c r="D20" s="23" t="s">
        <v>78</v>
      </c>
      <c r="E20" s="23" t="s">
        <v>79</v>
      </c>
      <c r="F20" s="22" t="s">
        <v>13</v>
      </c>
      <c r="G20" s="23" t="s">
        <v>38</v>
      </c>
      <c r="H20" s="23" t="s">
        <v>18</v>
      </c>
      <c r="I20" s="21">
        <v>360</v>
      </c>
      <c r="J20" s="21" t="s">
        <v>432</v>
      </c>
      <c r="K20" s="21">
        <v>3</v>
      </c>
      <c r="L20" s="23" t="s">
        <v>14</v>
      </c>
      <c r="M20" s="21"/>
      <c r="N20" s="22"/>
      <c r="O20" s="21">
        <v>2020</v>
      </c>
      <c r="P20" s="23" t="s">
        <v>14</v>
      </c>
      <c r="Q20" s="22"/>
    </row>
    <row r="21" spans="1:17" x14ac:dyDescent="0.25">
      <c r="A21" s="22" cm="1">
        <f t="array" ref="A21">ROW()-ROW(main_table[#Headers])</f>
        <v>20</v>
      </c>
      <c r="B21" s="22">
        <v>20</v>
      </c>
      <c r="C21" s="23" t="s">
        <v>81</v>
      </c>
      <c r="D21" s="23" t="s">
        <v>74</v>
      </c>
      <c r="E21" s="23" t="s">
        <v>75</v>
      </c>
      <c r="F21" s="22" t="s">
        <v>76</v>
      </c>
      <c r="G21" s="23" t="s">
        <v>35</v>
      </c>
      <c r="H21" s="23" t="s">
        <v>18</v>
      </c>
      <c r="I21" s="21">
        <v>512</v>
      </c>
      <c r="J21" s="21" t="s">
        <v>432</v>
      </c>
      <c r="K21" s="21">
        <v>5</v>
      </c>
      <c r="L21" s="23" t="s">
        <v>29</v>
      </c>
      <c r="M21" s="21">
        <v>3</v>
      </c>
      <c r="N21" s="22" t="s">
        <v>312</v>
      </c>
      <c r="O21" s="21">
        <v>1999</v>
      </c>
      <c r="P21" s="23" t="s">
        <v>14</v>
      </c>
      <c r="Q21" s="22" t="s">
        <v>17</v>
      </c>
    </row>
    <row r="22" spans="1:17" x14ac:dyDescent="0.25">
      <c r="A22" s="22" cm="1">
        <f t="array" ref="A22">ROW()-ROW(main_table[#Headers])</f>
        <v>21</v>
      </c>
      <c r="B22" s="22">
        <v>21</v>
      </c>
      <c r="C22" s="23" t="s">
        <v>85</v>
      </c>
      <c r="D22" s="23" t="s">
        <v>74</v>
      </c>
      <c r="E22" s="23" t="s">
        <v>75</v>
      </c>
      <c r="F22" s="22" t="s">
        <v>76</v>
      </c>
      <c r="G22" s="23" t="s">
        <v>35</v>
      </c>
      <c r="H22" s="23" t="s">
        <v>18</v>
      </c>
      <c r="I22" s="21">
        <v>288</v>
      </c>
      <c r="J22" s="21" t="s">
        <v>434</v>
      </c>
      <c r="K22" s="21">
        <v>5</v>
      </c>
      <c r="L22" s="23" t="s">
        <v>29</v>
      </c>
      <c r="M22" s="21">
        <v>4</v>
      </c>
      <c r="N22" s="22" t="s">
        <v>312</v>
      </c>
      <c r="O22" s="21">
        <v>2006</v>
      </c>
      <c r="P22" s="23" t="s">
        <v>14</v>
      </c>
      <c r="Q22" s="22" t="s">
        <v>17</v>
      </c>
    </row>
    <row r="23" spans="1:17" ht="30" x14ac:dyDescent="0.25">
      <c r="A23" s="22" cm="1">
        <f t="array" ref="A23">ROW()-ROW(main_table[#Headers])</f>
        <v>22</v>
      </c>
      <c r="B23" s="22">
        <v>22</v>
      </c>
      <c r="C23" s="23" t="s">
        <v>86</v>
      </c>
      <c r="D23" s="23" t="s">
        <v>87</v>
      </c>
      <c r="E23" s="23" t="s">
        <v>88</v>
      </c>
      <c r="F23" s="22" t="s">
        <v>89</v>
      </c>
      <c r="G23" s="23" t="s">
        <v>35</v>
      </c>
      <c r="H23" s="23" t="s">
        <v>18</v>
      </c>
      <c r="I23" s="21">
        <v>528</v>
      </c>
      <c r="J23" s="21" t="s">
        <v>434</v>
      </c>
      <c r="K23" s="21">
        <v>4</v>
      </c>
      <c r="L23" s="23" t="s">
        <v>29</v>
      </c>
      <c r="M23" s="21">
        <v>1</v>
      </c>
      <c r="N23" s="22" t="s">
        <v>319</v>
      </c>
      <c r="O23" s="21">
        <v>2023</v>
      </c>
      <c r="P23" s="23" t="s">
        <v>29</v>
      </c>
      <c r="Q23" s="22"/>
    </row>
    <row r="24" spans="1:17" x14ac:dyDescent="0.25">
      <c r="A24" s="22" cm="1">
        <f t="array" ref="A24">ROW()-ROW(main_table[#Headers])</f>
        <v>23</v>
      </c>
      <c r="B24" s="22">
        <v>23</v>
      </c>
      <c r="C24" s="23" t="s">
        <v>95</v>
      </c>
      <c r="D24" s="23" t="s">
        <v>96</v>
      </c>
      <c r="E24" s="23" t="s">
        <v>97</v>
      </c>
      <c r="F24" s="22" t="s">
        <v>98</v>
      </c>
      <c r="G24" s="23" t="s">
        <v>19</v>
      </c>
      <c r="H24" s="23" t="s">
        <v>18</v>
      </c>
      <c r="I24" s="21">
        <v>412</v>
      </c>
      <c r="J24" s="21" t="s">
        <v>434</v>
      </c>
      <c r="K24" s="21">
        <v>4</v>
      </c>
      <c r="L24" s="23" t="s">
        <v>29</v>
      </c>
      <c r="M24" s="21"/>
      <c r="N24" s="22"/>
      <c r="O24" s="21">
        <v>2024</v>
      </c>
      <c r="P24" s="23" t="s">
        <v>29</v>
      </c>
      <c r="Q24" s="22"/>
    </row>
    <row r="25" spans="1:17" ht="30" x14ac:dyDescent="0.25">
      <c r="A25" s="22" cm="1">
        <f t="array" ref="A25">ROW()-ROW(main_table[#Headers])</f>
        <v>24</v>
      </c>
      <c r="B25" s="22">
        <v>24</v>
      </c>
      <c r="C25" s="23" t="s">
        <v>90</v>
      </c>
      <c r="D25" s="23" t="s">
        <v>91</v>
      </c>
      <c r="E25" s="23" t="s">
        <v>92</v>
      </c>
      <c r="F25" s="22" t="s">
        <v>93</v>
      </c>
      <c r="G25" s="23" t="s">
        <v>38</v>
      </c>
      <c r="H25" s="23" t="s">
        <v>18</v>
      </c>
      <c r="I25" s="21">
        <v>358</v>
      </c>
      <c r="J25" s="21" t="s">
        <v>434</v>
      </c>
      <c r="K25" s="21">
        <v>4</v>
      </c>
      <c r="L25" s="23" t="s">
        <v>29</v>
      </c>
      <c r="M25" s="21"/>
      <c r="N25" s="22"/>
      <c r="O25" s="21">
        <v>1988</v>
      </c>
      <c r="P25" s="23" t="s">
        <v>14</v>
      </c>
      <c r="Q25" s="22"/>
    </row>
    <row r="26" spans="1:17" ht="30" x14ac:dyDescent="0.25">
      <c r="A26" s="22" cm="1">
        <f t="array" ref="A26">ROW()-ROW(main_table[#Headers])</f>
        <v>25</v>
      </c>
      <c r="B26" s="22">
        <v>25</v>
      </c>
      <c r="C26" s="23" t="s">
        <v>94</v>
      </c>
      <c r="D26" s="23" t="s">
        <v>87</v>
      </c>
      <c r="E26" s="23" t="s">
        <v>88</v>
      </c>
      <c r="F26" s="22" t="s">
        <v>89</v>
      </c>
      <c r="G26" s="23" t="s">
        <v>35</v>
      </c>
      <c r="H26" s="23" t="s">
        <v>18</v>
      </c>
      <c r="I26" s="21">
        <v>623</v>
      </c>
      <c r="J26" s="21" t="s">
        <v>434</v>
      </c>
      <c r="K26" s="21">
        <v>4</v>
      </c>
      <c r="L26" s="23" t="s">
        <v>29</v>
      </c>
      <c r="M26" s="21">
        <v>2</v>
      </c>
      <c r="N26" s="22" t="s">
        <v>319</v>
      </c>
      <c r="O26" s="21">
        <v>2023</v>
      </c>
      <c r="P26" s="23" t="s">
        <v>29</v>
      </c>
      <c r="Q26" s="22"/>
    </row>
    <row r="27" spans="1:17" ht="30" x14ac:dyDescent="0.25">
      <c r="A27" s="22" cm="1">
        <f t="array" ref="A27">ROW()-ROW(main_table[#Headers])</f>
        <v>26</v>
      </c>
      <c r="B27" s="22">
        <v>26</v>
      </c>
      <c r="C27" s="23" t="s">
        <v>101</v>
      </c>
      <c r="D27" s="23" t="s">
        <v>102</v>
      </c>
      <c r="E27" s="23" t="s">
        <v>103</v>
      </c>
      <c r="F27" s="22" t="s">
        <v>54</v>
      </c>
      <c r="G27" s="23" t="s">
        <v>38</v>
      </c>
      <c r="H27" s="21" t="s">
        <v>18</v>
      </c>
      <c r="I27" s="21">
        <v>272</v>
      </c>
      <c r="J27" s="21" t="s">
        <v>434</v>
      </c>
      <c r="K27" s="21">
        <v>5</v>
      </c>
      <c r="L27" s="23" t="s">
        <v>14</v>
      </c>
      <c r="M27" s="21"/>
      <c r="N27" s="22"/>
      <c r="O27" s="21">
        <v>1976</v>
      </c>
      <c r="P27" s="22" t="s">
        <v>14</v>
      </c>
      <c r="Q27" s="22" t="s">
        <v>17</v>
      </c>
    </row>
    <row r="28" spans="1:17" ht="30" x14ac:dyDescent="0.25">
      <c r="A28" s="22" cm="1">
        <f t="array" ref="A28">ROW()-ROW(main_table[#Headers])</f>
        <v>27</v>
      </c>
      <c r="B28" s="22">
        <v>27</v>
      </c>
      <c r="C28" s="23" t="s">
        <v>104</v>
      </c>
      <c r="D28" s="23" t="s">
        <v>49</v>
      </c>
      <c r="E28" s="23" t="s">
        <v>50</v>
      </c>
      <c r="F28" s="22" t="s">
        <v>118</v>
      </c>
      <c r="G28" s="23" t="s">
        <v>35</v>
      </c>
      <c r="H28" s="21" t="s">
        <v>18</v>
      </c>
      <c r="I28" s="21">
        <v>496</v>
      </c>
      <c r="J28" s="21" t="s">
        <v>434</v>
      </c>
      <c r="K28" s="21">
        <v>4</v>
      </c>
      <c r="L28" s="23" t="s">
        <v>29</v>
      </c>
      <c r="M28" s="21"/>
      <c r="N28" s="22"/>
      <c r="O28" s="21">
        <v>2002</v>
      </c>
      <c r="P28" s="22" t="s">
        <v>29</v>
      </c>
      <c r="Q28" s="22"/>
    </row>
    <row r="29" spans="1:17" x14ac:dyDescent="0.25">
      <c r="A29" s="22" cm="1">
        <f t="array" ref="A29">ROW()-ROW(main_table[#Headers])</f>
        <v>28</v>
      </c>
      <c r="B29" s="22">
        <v>28</v>
      </c>
      <c r="C29" s="23" t="s">
        <v>106</v>
      </c>
      <c r="D29" s="23" t="s">
        <v>107</v>
      </c>
      <c r="E29" s="23" t="s">
        <v>108</v>
      </c>
      <c r="F29" s="22" t="s">
        <v>109</v>
      </c>
      <c r="G29" s="23" t="s">
        <v>35</v>
      </c>
      <c r="H29" s="21" t="s">
        <v>18</v>
      </c>
      <c r="I29" s="21">
        <v>384</v>
      </c>
      <c r="J29" s="21" t="s">
        <v>434</v>
      </c>
      <c r="K29" s="21">
        <v>4</v>
      </c>
      <c r="L29" s="23" t="s">
        <v>29</v>
      </c>
      <c r="M29" s="21"/>
      <c r="N29" s="22"/>
      <c r="O29" s="21">
        <v>2016</v>
      </c>
      <c r="P29" s="22" t="s">
        <v>29</v>
      </c>
      <c r="Q29" s="22"/>
    </row>
    <row r="30" spans="1:17" ht="45" x14ac:dyDescent="0.25">
      <c r="A30" s="22" cm="1">
        <f t="array" ref="A30">ROW()-ROW(main_table[#Headers])</f>
        <v>29</v>
      </c>
      <c r="B30" s="22">
        <v>29</v>
      </c>
      <c r="C30" s="23" t="s">
        <v>110</v>
      </c>
      <c r="D30" s="23" t="s">
        <v>111</v>
      </c>
      <c r="E30" s="23" t="s">
        <v>112</v>
      </c>
      <c r="F30" s="22" t="s">
        <v>113</v>
      </c>
      <c r="G30" s="23" t="s">
        <v>35</v>
      </c>
      <c r="H30" s="23" t="s">
        <v>18</v>
      </c>
      <c r="I30" s="23">
        <v>322</v>
      </c>
      <c r="J30" s="21" t="s">
        <v>435</v>
      </c>
      <c r="K30" s="21">
        <v>4</v>
      </c>
      <c r="L30" s="21" t="s">
        <v>29</v>
      </c>
      <c r="M30" s="21">
        <v>1</v>
      </c>
      <c r="N30" s="22" t="s">
        <v>314</v>
      </c>
      <c r="O30" s="23">
        <v>2000</v>
      </c>
      <c r="P30" s="21" t="s">
        <v>29</v>
      </c>
      <c r="Q30" s="23"/>
    </row>
    <row r="31" spans="1:17" ht="30" x14ac:dyDescent="0.25">
      <c r="A31" s="22" cm="1">
        <f t="array" ref="A31">ROW()-ROW(main_table[#Headers])</f>
        <v>30</v>
      </c>
      <c r="B31" s="22">
        <v>30</v>
      </c>
      <c r="C31" s="23" t="s">
        <v>114</v>
      </c>
      <c r="D31" s="23" t="s">
        <v>115</v>
      </c>
      <c r="E31" s="23" t="s">
        <v>116</v>
      </c>
      <c r="F31" s="22" t="s">
        <v>117</v>
      </c>
      <c r="G31" s="23" t="s">
        <v>19</v>
      </c>
      <c r="H31" s="21" t="s">
        <v>18</v>
      </c>
      <c r="I31" s="21">
        <v>496</v>
      </c>
      <c r="J31" s="21" t="s">
        <v>435</v>
      </c>
      <c r="K31" s="21">
        <v>5</v>
      </c>
      <c r="L31" s="23" t="s">
        <v>14</v>
      </c>
      <c r="M31" s="21">
        <v>5</v>
      </c>
      <c r="N31" s="22" t="s">
        <v>315</v>
      </c>
      <c r="O31" s="21">
        <v>2017</v>
      </c>
      <c r="P31" s="22" t="s">
        <v>14</v>
      </c>
      <c r="Q31" s="22" t="s">
        <v>17</v>
      </c>
    </row>
    <row r="32" spans="1:17" ht="45" x14ac:dyDescent="0.25">
      <c r="A32" s="22" cm="1">
        <f t="array" ref="A32">ROW()-ROW(main_table[#Headers])</f>
        <v>31</v>
      </c>
      <c r="B32" s="22">
        <v>31</v>
      </c>
      <c r="C32" s="23" t="s">
        <v>119</v>
      </c>
      <c r="D32" s="23" t="s">
        <v>111</v>
      </c>
      <c r="E32" s="23" t="s">
        <v>112</v>
      </c>
      <c r="F32" s="22" t="s">
        <v>113</v>
      </c>
      <c r="G32" s="23" t="s">
        <v>35</v>
      </c>
      <c r="H32" s="23" t="s">
        <v>18</v>
      </c>
      <c r="I32" s="23">
        <v>352</v>
      </c>
      <c r="J32" s="21" t="s">
        <v>435</v>
      </c>
      <c r="K32" s="21">
        <v>4</v>
      </c>
      <c r="L32" s="21" t="s">
        <v>29</v>
      </c>
      <c r="M32" s="21">
        <v>2</v>
      </c>
      <c r="N32" s="22" t="s">
        <v>314</v>
      </c>
      <c r="O32" s="23">
        <v>2001</v>
      </c>
      <c r="P32" s="21" t="s">
        <v>29</v>
      </c>
      <c r="Q32" s="23"/>
    </row>
    <row r="33" spans="1:17" ht="45" x14ac:dyDescent="0.25">
      <c r="A33" s="22" cm="1">
        <f t="array" ref="A33">ROW()-ROW(main_table[#Headers])</f>
        <v>32</v>
      </c>
      <c r="B33" s="22">
        <v>32</v>
      </c>
      <c r="C33" s="23" t="s">
        <v>120</v>
      </c>
      <c r="D33" s="23" t="s">
        <v>111</v>
      </c>
      <c r="E33" s="23" t="s">
        <v>112</v>
      </c>
      <c r="F33" s="22" t="s">
        <v>113</v>
      </c>
      <c r="G33" s="23" t="s">
        <v>35</v>
      </c>
      <c r="H33" s="21" t="s">
        <v>18</v>
      </c>
      <c r="I33" s="21">
        <v>378</v>
      </c>
      <c r="J33" s="21" t="s">
        <v>435</v>
      </c>
      <c r="K33" s="21">
        <v>4</v>
      </c>
      <c r="L33" s="23" t="s">
        <v>29</v>
      </c>
      <c r="M33" s="21">
        <v>3</v>
      </c>
      <c r="N33" s="22" t="s">
        <v>314</v>
      </c>
      <c r="O33" s="21">
        <v>2001</v>
      </c>
      <c r="P33" s="22" t="s">
        <v>29</v>
      </c>
      <c r="Q33" s="22"/>
    </row>
    <row r="34" spans="1:17" ht="30" x14ac:dyDescent="0.25">
      <c r="A34" s="22" cm="1">
        <f t="array" ref="A34">ROW()-ROW(main_table[#Headers])</f>
        <v>33</v>
      </c>
      <c r="B34" s="22">
        <v>33</v>
      </c>
      <c r="C34" s="23" t="s">
        <v>121</v>
      </c>
      <c r="D34" s="23" t="s">
        <v>122</v>
      </c>
      <c r="E34" s="23" t="s">
        <v>123</v>
      </c>
      <c r="F34" s="22" t="s">
        <v>124</v>
      </c>
      <c r="G34" s="23" t="s">
        <v>19</v>
      </c>
      <c r="H34" s="21" t="s">
        <v>18</v>
      </c>
      <c r="I34" s="21">
        <v>368</v>
      </c>
      <c r="J34" s="21" t="s">
        <v>435</v>
      </c>
      <c r="K34" s="21">
        <v>5</v>
      </c>
      <c r="L34" s="23" t="s">
        <v>14</v>
      </c>
      <c r="M34" s="21"/>
      <c r="N34" s="22"/>
      <c r="O34" s="21">
        <v>2024</v>
      </c>
      <c r="P34" s="22" t="s">
        <v>14</v>
      </c>
      <c r="Q34" s="22"/>
    </row>
    <row r="35" spans="1:17" ht="30" x14ac:dyDescent="0.25">
      <c r="A35" s="22" cm="1">
        <f t="array" ref="A35">ROW()-ROW(main_table[#Headers])</f>
        <v>34</v>
      </c>
      <c r="B35" s="22">
        <v>34</v>
      </c>
      <c r="C35" s="23" t="s">
        <v>125</v>
      </c>
      <c r="D35" s="23" t="s">
        <v>126</v>
      </c>
      <c r="E35" s="23" t="s">
        <v>127</v>
      </c>
      <c r="F35" s="22" t="s">
        <v>128</v>
      </c>
      <c r="G35" s="23" t="s">
        <v>35</v>
      </c>
      <c r="H35" s="21" t="s">
        <v>18</v>
      </c>
      <c r="I35" s="21">
        <v>320</v>
      </c>
      <c r="J35" s="21" t="s">
        <v>435</v>
      </c>
      <c r="K35" s="21">
        <v>5</v>
      </c>
      <c r="L35" s="23" t="s">
        <v>29</v>
      </c>
      <c r="M35" s="21"/>
      <c r="N35" s="22"/>
      <c r="O35" s="21">
        <v>2011</v>
      </c>
      <c r="P35" s="22" t="s">
        <v>29</v>
      </c>
      <c r="Q35" s="22" t="s">
        <v>17</v>
      </c>
    </row>
    <row r="36" spans="1:17" ht="30" x14ac:dyDescent="0.25">
      <c r="A36" s="22" cm="1">
        <f t="array" ref="A36">ROW()-ROW(main_table[#Headers])</f>
        <v>35</v>
      </c>
      <c r="B36" s="22">
        <v>35</v>
      </c>
      <c r="C36" s="23" t="s">
        <v>129</v>
      </c>
      <c r="D36" s="23" t="s">
        <v>130</v>
      </c>
      <c r="E36" s="23" t="s">
        <v>131</v>
      </c>
      <c r="F36" s="22" t="s">
        <v>132</v>
      </c>
      <c r="G36" s="23" t="s">
        <v>35</v>
      </c>
      <c r="H36" s="21" t="s">
        <v>18</v>
      </c>
      <c r="I36" s="21">
        <v>256</v>
      </c>
      <c r="J36" s="21" t="s">
        <v>436</v>
      </c>
      <c r="K36" s="21">
        <v>5</v>
      </c>
      <c r="L36" s="23" t="s">
        <v>29</v>
      </c>
      <c r="M36" s="21"/>
      <c r="N36" s="22"/>
      <c r="O36" s="21">
        <v>1936</v>
      </c>
      <c r="P36" s="22" t="s">
        <v>29</v>
      </c>
      <c r="Q36" s="22" t="s">
        <v>17</v>
      </c>
    </row>
    <row r="37" spans="1:17" ht="30" x14ac:dyDescent="0.25">
      <c r="A37" s="22" cm="1">
        <f t="array" ref="A37">ROW()-ROW(main_table[#Headers])</f>
        <v>36</v>
      </c>
      <c r="B37" s="22">
        <v>36</v>
      </c>
      <c r="C37" s="23" t="s">
        <v>133</v>
      </c>
      <c r="D37" s="23" t="s">
        <v>115</v>
      </c>
      <c r="E37" s="23" t="s">
        <v>116</v>
      </c>
      <c r="F37" s="22" t="s">
        <v>117</v>
      </c>
      <c r="G37" s="23" t="s">
        <v>19</v>
      </c>
      <c r="H37" s="21" t="s">
        <v>18</v>
      </c>
      <c r="I37" s="21">
        <v>368</v>
      </c>
      <c r="J37" s="21" t="s">
        <v>436</v>
      </c>
      <c r="K37" s="21">
        <v>5</v>
      </c>
      <c r="L37" s="23" t="s">
        <v>14</v>
      </c>
      <c r="M37" s="21">
        <v>6</v>
      </c>
      <c r="N37" s="22" t="s">
        <v>315</v>
      </c>
      <c r="O37" s="21">
        <v>2019</v>
      </c>
      <c r="P37" s="22" t="s">
        <v>29</v>
      </c>
      <c r="Q37" s="22" t="s">
        <v>17</v>
      </c>
    </row>
    <row r="38" spans="1:17" ht="30" x14ac:dyDescent="0.25">
      <c r="A38" s="22" cm="1">
        <f t="array" ref="A38">ROW()-ROW(main_table[#Headers])</f>
        <v>37</v>
      </c>
      <c r="B38" s="22">
        <v>37</v>
      </c>
      <c r="C38" s="23" t="s">
        <v>134</v>
      </c>
      <c r="D38" s="23" t="s">
        <v>135</v>
      </c>
      <c r="E38" s="23" t="s">
        <v>136</v>
      </c>
      <c r="F38" s="22" t="s">
        <v>137</v>
      </c>
      <c r="G38" s="23" t="s">
        <v>35</v>
      </c>
      <c r="H38" s="21" t="s">
        <v>18</v>
      </c>
      <c r="I38" s="21">
        <v>2184</v>
      </c>
      <c r="J38" s="21" t="s">
        <v>436</v>
      </c>
      <c r="K38" s="21">
        <v>5</v>
      </c>
      <c r="L38" s="23" t="s">
        <v>29</v>
      </c>
      <c r="M38" s="21">
        <v>1</v>
      </c>
      <c r="N38" s="22" t="s">
        <v>318</v>
      </c>
      <c r="O38" s="21">
        <v>2010</v>
      </c>
      <c r="P38" s="22" t="s">
        <v>29</v>
      </c>
      <c r="Q38" s="22"/>
    </row>
    <row r="39" spans="1:17" ht="30" x14ac:dyDescent="0.25">
      <c r="A39" s="22" cm="1">
        <f t="array" ref="A39">ROW()-ROW(main_table[#Headers])</f>
        <v>38</v>
      </c>
      <c r="B39" s="22">
        <v>38</v>
      </c>
      <c r="C39" s="23" t="s">
        <v>138</v>
      </c>
      <c r="D39" s="23" t="s">
        <v>135</v>
      </c>
      <c r="E39" s="23" t="s">
        <v>136</v>
      </c>
      <c r="F39" s="22" t="s">
        <v>137</v>
      </c>
      <c r="G39" s="23" t="s">
        <v>35</v>
      </c>
      <c r="H39" s="23" t="s">
        <v>18</v>
      </c>
      <c r="I39" s="23">
        <v>1649</v>
      </c>
      <c r="J39" s="21" t="s">
        <v>436</v>
      </c>
      <c r="K39" s="21">
        <v>5</v>
      </c>
      <c r="L39" s="21" t="s">
        <v>29</v>
      </c>
      <c r="M39" s="21">
        <v>2</v>
      </c>
      <c r="N39" s="22" t="s">
        <v>318</v>
      </c>
      <c r="O39" s="23"/>
      <c r="P39" s="21" t="s">
        <v>29</v>
      </c>
      <c r="Q39" s="23"/>
    </row>
    <row r="40" spans="1:17" ht="45" x14ac:dyDescent="0.25">
      <c r="A40" s="22" cm="1">
        <f t="array" ref="A40">ROW()-ROW(main_table[#Headers])</f>
        <v>39</v>
      </c>
      <c r="B40" s="22">
        <v>39</v>
      </c>
      <c r="C40" s="23" t="s">
        <v>139</v>
      </c>
      <c r="D40" s="23" t="s">
        <v>140</v>
      </c>
      <c r="E40" s="23" t="s">
        <v>141</v>
      </c>
      <c r="F40" s="22" t="s">
        <v>166</v>
      </c>
      <c r="G40" s="23" t="s">
        <v>35</v>
      </c>
      <c r="H40" s="21" t="s">
        <v>18</v>
      </c>
      <c r="I40" s="21">
        <v>352</v>
      </c>
      <c r="J40" s="21" t="s">
        <v>436</v>
      </c>
      <c r="K40" s="21">
        <v>5</v>
      </c>
      <c r="L40" s="23" t="s">
        <v>29</v>
      </c>
      <c r="M40" s="21"/>
      <c r="N40" s="22"/>
      <c r="O40" s="21">
        <v>1961</v>
      </c>
      <c r="P40" s="22" t="s">
        <v>29</v>
      </c>
      <c r="Q40" s="22"/>
    </row>
    <row r="41" spans="1:17" ht="30" x14ac:dyDescent="0.25">
      <c r="A41" s="22" cm="1">
        <f t="array" ref="A41">ROW()-ROW(main_table[#Headers])</f>
        <v>40</v>
      </c>
      <c r="B41" s="22">
        <v>40</v>
      </c>
      <c r="C41" s="23" t="s">
        <v>142</v>
      </c>
      <c r="D41" s="23" t="s">
        <v>143</v>
      </c>
      <c r="E41" s="23" t="s">
        <v>144</v>
      </c>
      <c r="F41" s="22" t="s">
        <v>145</v>
      </c>
      <c r="G41" s="23" t="s">
        <v>19</v>
      </c>
      <c r="H41" s="21" t="s">
        <v>18</v>
      </c>
      <c r="I41" s="21">
        <v>400</v>
      </c>
      <c r="J41" s="21" t="s">
        <v>436</v>
      </c>
      <c r="K41" s="21">
        <v>5</v>
      </c>
      <c r="L41" s="23" t="s">
        <v>14</v>
      </c>
      <c r="M41" s="21">
        <v>1</v>
      </c>
      <c r="N41" s="22" t="s">
        <v>320</v>
      </c>
      <c r="O41" s="21">
        <v>2019</v>
      </c>
      <c r="P41" s="22" t="s">
        <v>14</v>
      </c>
      <c r="Q41" s="22" t="s">
        <v>17</v>
      </c>
    </row>
    <row r="42" spans="1:17" ht="30" x14ac:dyDescent="0.25">
      <c r="A42" s="22" cm="1">
        <f t="array" ref="A42">ROW()-ROW(main_table[#Headers])</f>
        <v>41</v>
      </c>
      <c r="B42" s="22">
        <v>41</v>
      </c>
      <c r="C42" s="23" t="s">
        <v>146</v>
      </c>
      <c r="D42" s="23" t="s">
        <v>147</v>
      </c>
      <c r="E42" s="23" t="s">
        <v>148</v>
      </c>
      <c r="F42" s="22" t="s">
        <v>40</v>
      </c>
      <c r="G42" s="23" t="s">
        <v>35</v>
      </c>
      <c r="H42" s="21" t="s">
        <v>18</v>
      </c>
      <c r="I42" s="21">
        <v>232</v>
      </c>
      <c r="J42" s="21" t="s">
        <v>436</v>
      </c>
      <c r="K42" s="21">
        <v>5</v>
      </c>
      <c r="L42" s="23" t="s">
        <v>29</v>
      </c>
      <c r="M42" s="21"/>
      <c r="N42" s="22"/>
      <c r="O42" s="21">
        <v>1969</v>
      </c>
      <c r="P42" s="22" t="s">
        <v>29</v>
      </c>
      <c r="Q42" s="22"/>
    </row>
    <row r="43" spans="1:17" ht="30" x14ac:dyDescent="0.25">
      <c r="A43" s="22" cm="1">
        <f t="array" ref="A43">ROW()-ROW(main_table[#Headers])</f>
        <v>42</v>
      </c>
      <c r="B43" s="22">
        <v>42</v>
      </c>
      <c r="C43" s="23" t="s">
        <v>149</v>
      </c>
      <c r="D43" s="23" t="s">
        <v>143</v>
      </c>
      <c r="E43" s="23" t="s">
        <v>144</v>
      </c>
      <c r="F43" s="22" t="s">
        <v>145</v>
      </c>
      <c r="G43" s="23" t="s">
        <v>19</v>
      </c>
      <c r="H43" s="21" t="s">
        <v>18</v>
      </c>
      <c r="I43" s="21">
        <v>400</v>
      </c>
      <c r="J43" s="21" t="s">
        <v>436</v>
      </c>
      <c r="K43" s="21">
        <v>5</v>
      </c>
      <c r="L43" s="23" t="s">
        <v>14</v>
      </c>
      <c r="M43" s="21">
        <v>2</v>
      </c>
      <c r="N43" s="22" t="s">
        <v>320</v>
      </c>
      <c r="O43" s="21">
        <v>2020</v>
      </c>
      <c r="P43" s="22" t="s">
        <v>29</v>
      </c>
      <c r="Q43" s="22" t="s">
        <v>17</v>
      </c>
    </row>
    <row r="44" spans="1:17" ht="30" x14ac:dyDescent="0.25">
      <c r="A44" s="22" cm="1">
        <f t="array" ref="A44">ROW()-ROW(main_table[#Headers])</f>
        <v>43</v>
      </c>
      <c r="B44" s="22">
        <v>43</v>
      </c>
      <c r="C44" s="23" t="s">
        <v>150</v>
      </c>
      <c r="D44" s="23" t="s">
        <v>151</v>
      </c>
      <c r="E44" s="23" t="s">
        <v>152</v>
      </c>
      <c r="F44" s="22" t="s">
        <v>54</v>
      </c>
      <c r="G44" s="23" t="s">
        <v>35</v>
      </c>
      <c r="H44" s="21" t="s">
        <v>18</v>
      </c>
      <c r="I44" s="21">
        <v>320</v>
      </c>
      <c r="J44" s="21" t="s">
        <v>436</v>
      </c>
      <c r="K44" s="21">
        <v>5</v>
      </c>
      <c r="L44" s="23" t="s">
        <v>29</v>
      </c>
      <c r="M44" s="21"/>
      <c r="N44" s="22"/>
      <c r="O44" s="21">
        <v>1975</v>
      </c>
      <c r="P44" s="22" t="s">
        <v>29</v>
      </c>
      <c r="Q44" s="22"/>
    </row>
    <row r="45" spans="1:17" ht="30" x14ac:dyDescent="0.25">
      <c r="A45" s="22" cm="1">
        <f t="array" ref="A45">ROW()-ROW(main_table[#Headers])</f>
        <v>44</v>
      </c>
      <c r="B45" s="22">
        <v>44</v>
      </c>
      <c r="C45" s="23" t="s">
        <v>153</v>
      </c>
      <c r="D45" s="23" t="s">
        <v>143</v>
      </c>
      <c r="E45" s="23" t="s">
        <v>144</v>
      </c>
      <c r="F45" s="22" t="s">
        <v>145</v>
      </c>
      <c r="G45" s="23" t="s">
        <v>19</v>
      </c>
      <c r="H45" s="21" t="s">
        <v>18</v>
      </c>
      <c r="I45" s="21">
        <v>432</v>
      </c>
      <c r="J45" s="21" t="s">
        <v>436</v>
      </c>
      <c r="K45" s="21">
        <v>5</v>
      </c>
      <c r="L45" s="23" t="s">
        <v>14</v>
      </c>
      <c r="M45" s="21">
        <v>3</v>
      </c>
      <c r="N45" s="22" t="s">
        <v>320</v>
      </c>
      <c r="O45" s="21">
        <v>2021</v>
      </c>
      <c r="P45" s="22" t="s">
        <v>29</v>
      </c>
      <c r="Q45" s="22" t="s">
        <v>17</v>
      </c>
    </row>
    <row r="46" spans="1:17" ht="30" x14ac:dyDescent="0.25">
      <c r="A46" s="22" cm="1">
        <f t="array" ref="A46">ROW()-ROW(main_table[#Headers])</f>
        <v>45</v>
      </c>
      <c r="B46" s="22">
        <v>45</v>
      </c>
      <c r="C46" s="23" t="s">
        <v>154</v>
      </c>
      <c r="D46" s="23" t="s">
        <v>155</v>
      </c>
      <c r="E46" s="23" t="s">
        <v>156</v>
      </c>
      <c r="F46" s="22" t="s">
        <v>157</v>
      </c>
      <c r="G46" s="23" t="s">
        <v>35</v>
      </c>
      <c r="H46" s="21" t="s">
        <v>18</v>
      </c>
      <c r="I46" s="21">
        <v>288</v>
      </c>
      <c r="J46" s="21" t="s">
        <v>437</v>
      </c>
      <c r="K46" s="21">
        <v>4</v>
      </c>
      <c r="L46" s="23" t="s">
        <v>29</v>
      </c>
      <c r="M46" s="21"/>
      <c r="N46" s="22"/>
      <c r="O46" s="21">
        <v>2007</v>
      </c>
      <c r="P46" s="22" t="s">
        <v>29</v>
      </c>
      <c r="Q46" s="22"/>
    </row>
    <row r="47" spans="1:17" ht="30" x14ac:dyDescent="0.25">
      <c r="A47" s="22" cm="1">
        <f t="array" ref="A47">ROW()-ROW(main_table[#Headers])</f>
        <v>46</v>
      </c>
      <c r="B47" s="22">
        <v>46</v>
      </c>
      <c r="C47" s="23" t="s">
        <v>158</v>
      </c>
      <c r="D47" s="23" t="s">
        <v>143</v>
      </c>
      <c r="E47" s="23" t="s">
        <v>144</v>
      </c>
      <c r="F47" s="22" t="s">
        <v>145</v>
      </c>
      <c r="G47" s="23" t="s">
        <v>19</v>
      </c>
      <c r="H47" s="21" t="s">
        <v>18</v>
      </c>
      <c r="I47" s="21">
        <v>432</v>
      </c>
      <c r="J47" s="21" t="s">
        <v>437</v>
      </c>
      <c r="K47" s="21">
        <v>5</v>
      </c>
      <c r="L47" s="23" t="s">
        <v>14</v>
      </c>
      <c r="M47" s="21">
        <v>4</v>
      </c>
      <c r="N47" s="22" t="s">
        <v>320</v>
      </c>
      <c r="O47" s="21">
        <v>2022</v>
      </c>
      <c r="P47" s="22" t="s">
        <v>29</v>
      </c>
      <c r="Q47" s="22" t="s">
        <v>17</v>
      </c>
    </row>
    <row r="48" spans="1:17" ht="30" x14ac:dyDescent="0.25">
      <c r="A48" s="22" cm="1">
        <f t="array" ref="A48">ROW()-ROW(main_table[#Headers])</f>
        <v>47</v>
      </c>
      <c r="B48" s="22">
        <v>47</v>
      </c>
      <c r="C48" s="23" t="s">
        <v>159</v>
      </c>
      <c r="D48" s="23" t="s">
        <v>160</v>
      </c>
      <c r="E48" s="23" t="s">
        <v>161</v>
      </c>
      <c r="F48" s="22" t="s">
        <v>162</v>
      </c>
      <c r="G48" s="23" t="s">
        <v>35</v>
      </c>
      <c r="H48" s="21" t="s">
        <v>18</v>
      </c>
      <c r="I48" s="21">
        <v>736</v>
      </c>
      <c r="J48" s="21" t="s">
        <v>437</v>
      </c>
      <c r="K48" s="21">
        <v>5</v>
      </c>
      <c r="L48" s="23" t="s">
        <v>29</v>
      </c>
      <c r="M48" s="21"/>
      <c r="N48" s="22"/>
      <c r="O48" s="21">
        <v>1844</v>
      </c>
      <c r="P48" s="22" t="s">
        <v>29</v>
      </c>
      <c r="Q48" s="22" t="s">
        <v>17</v>
      </c>
    </row>
    <row r="49" spans="1:17" ht="45" x14ac:dyDescent="0.25">
      <c r="A49" s="22" cm="1">
        <f t="array" ref="A49">ROW()-ROW(main_table[#Headers])</f>
        <v>48</v>
      </c>
      <c r="B49" s="22">
        <v>48</v>
      </c>
      <c r="C49" s="23" t="s">
        <v>163</v>
      </c>
      <c r="D49" s="23" t="s">
        <v>164</v>
      </c>
      <c r="E49" s="23" t="s">
        <v>165</v>
      </c>
      <c r="F49" s="22" t="s">
        <v>166</v>
      </c>
      <c r="G49" s="23" t="s">
        <v>35</v>
      </c>
      <c r="H49" s="21" t="s">
        <v>18</v>
      </c>
      <c r="I49" s="21">
        <v>256</v>
      </c>
      <c r="J49" s="21" t="s">
        <v>437</v>
      </c>
      <c r="K49" s="21">
        <v>5</v>
      </c>
      <c r="L49" s="23" t="s">
        <v>29</v>
      </c>
      <c r="M49" s="21">
        <v>1</v>
      </c>
      <c r="N49" s="22" t="s">
        <v>163</v>
      </c>
      <c r="O49" s="21">
        <v>2022</v>
      </c>
      <c r="P49" s="22" t="s">
        <v>29</v>
      </c>
      <c r="Q49" s="22" t="s">
        <v>17</v>
      </c>
    </row>
    <row r="50" spans="1:17" x14ac:dyDescent="0.25">
      <c r="A50" s="22" cm="1">
        <f t="array" ref="A50">ROW()-ROW(main_table[#Headers])</f>
        <v>49</v>
      </c>
      <c r="B50" s="22">
        <v>49</v>
      </c>
      <c r="C50" s="23" t="s">
        <v>167</v>
      </c>
      <c r="D50" s="23" t="s">
        <v>168</v>
      </c>
      <c r="E50" s="23" t="s">
        <v>169</v>
      </c>
      <c r="F50" s="22" t="s">
        <v>13</v>
      </c>
      <c r="G50" s="23" t="s">
        <v>19</v>
      </c>
      <c r="H50" s="23" t="s">
        <v>18</v>
      </c>
      <c r="I50" s="21">
        <v>232</v>
      </c>
      <c r="J50" s="21" t="s">
        <v>437</v>
      </c>
      <c r="K50" s="21">
        <v>5</v>
      </c>
      <c r="L50" s="23" t="s">
        <v>14</v>
      </c>
      <c r="M50" s="21"/>
      <c r="N50" s="22"/>
      <c r="O50" s="21">
        <v>2020</v>
      </c>
      <c r="P50" s="23" t="s">
        <v>29</v>
      </c>
      <c r="Q50" s="22"/>
    </row>
    <row r="51" spans="1:17" ht="30" x14ac:dyDescent="0.25">
      <c r="A51" s="22" cm="1">
        <f t="array" ref="A51">ROW()-ROW(main_table[#Headers])</f>
        <v>50</v>
      </c>
      <c r="B51" s="22">
        <v>50</v>
      </c>
      <c r="C51" s="23" t="s">
        <v>170</v>
      </c>
      <c r="D51" s="23" t="s">
        <v>171</v>
      </c>
      <c r="E51" s="23" t="s">
        <v>172</v>
      </c>
      <c r="F51" s="22" t="s">
        <v>117</v>
      </c>
      <c r="G51" s="23" t="s">
        <v>38</v>
      </c>
      <c r="H51" s="23" t="s">
        <v>18</v>
      </c>
      <c r="I51" s="21">
        <v>496</v>
      </c>
      <c r="J51" s="21" t="s">
        <v>437</v>
      </c>
      <c r="K51" s="21">
        <v>5</v>
      </c>
      <c r="L51" s="23" t="s">
        <v>14</v>
      </c>
      <c r="M51" s="21"/>
      <c r="N51" s="22"/>
      <c r="O51" s="21">
        <v>2025</v>
      </c>
      <c r="P51" s="23" t="s">
        <v>14</v>
      </c>
      <c r="Q51" s="22"/>
    </row>
    <row r="52" spans="1:17" ht="30" x14ac:dyDescent="0.25">
      <c r="A52" s="22" cm="1">
        <f t="array" ref="A52">ROW()-ROW(main_table[#Headers])</f>
        <v>51</v>
      </c>
      <c r="B52" s="22">
        <v>51</v>
      </c>
      <c r="C52" s="23" t="s">
        <v>173</v>
      </c>
      <c r="D52" s="23" t="s">
        <v>174</v>
      </c>
      <c r="E52" s="23" t="s">
        <v>175</v>
      </c>
      <c r="F52" s="22" t="s">
        <v>202</v>
      </c>
      <c r="G52" s="23" t="s">
        <v>38</v>
      </c>
      <c r="H52" s="23" t="s">
        <v>18</v>
      </c>
      <c r="I52" s="21">
        <v>288</v>
      </c>
      <c r="J52" s="21" t="s">
        <v>437</v>
      </c>
      <c r="K52" s="21">
        <v>3</v>
      </c>
      <c r="L52" s="23" t="s">
        <v>29</v>
      </c>
      <c r="M52" s="21">
        <v>1</v>
      </c>
      <c r="N52" s="22" t="s">
        <v>321</v>
      </c>
      <c r="O52" s="21">
        <v>2016</v>
      </c>
      <c r="P52" s="23" t="s">
        <v>14</v>
      </c>
      <c r="Q52" s="22"/>
    </row>
    <row r="53" spans="1:17" ht="45" x14ac:dyDescent="0.25">
      <c r="A53" s="22" cm="1">
        <f t="array" ref="A53">ROW()-ROW(main_table[#Headers])</f>
        <v>52</v>
      </c>
      <c r="B53" s="22">
        <v>52</v>
      </c>
      <c r="C53" s="23" t="s">
        <v>176</v>
      </c>
      <c r="D53" s="23" t="s">
        <v>164</v>
      </c>
      <c r="E53" s="23" t="s">
        <v>165</v>
      </c>
      <c r="F53" s="22" t="s">
        <v>166</v>
      </c>
      <c r="G53" s="23" t="s">
        <v>35</v>
      </c>
      <c r="H53" s="23" t="s">
        <v>18</v>
      </c>
      <c r="I53" s="21">
        <v>312</v>
      </c>
      <c r="J53" s="21" t="s">
        <v>437</v>
      </c>
      <c r="K53" s="21">
        <v>5</v>
      </c>
      <c r="L53" s="23" t="s">
        <v>29</v>
      </c>
      <c r="M53" s="21">
        <v>2</v>
      </c>
      <c r="N53" s="22" t="s">
        <v>163</v>
      </c>
      <c r="O53" s="21">
        <v>2024</v>
      </c>
      <c r="P53" s="23" t="s">
        <v>29</v>
      </c>
      <c r="Q53" s="22" t="s">
        <v>17</v>
      </c>
    </row>
    <row r="54" spans="1:17" ht="30" x14ac:dyDescent="0.25">
      <c r="A54" s="22" cm="1">
        <f t="array" ref="A54">ROW()-ROW(main_table[#Headers])</f>
        <v>53</v>
      </c>
      <c r="B54" s="22">
        <v>53</v>
      </c>
      <c r="C54" s="23" t="s">
        <v>177</v>
      </c>
      <c r="D54" s="23" t="s">
        <v>174</v>
      </c>
      <c r="E54" s="23" t="s">
        <v>175</v>
      </c>
      <c r="F54" s="22" t="s">
        <v>202</v>
      </c>
      <c r="G54" s="23" t="s">
        <v>38</v>
      </c>
      <c r="H54" s="23" t="s">
        <v>18</v>
      </c>
      <c r="I54" s="21">
        <v>272</v>
      </c>
      <c r="J54" s="21" t="s">
        <v>437</v>
      </c>
      <c r="K54" s="21">
        <v>3</v>
      </c>
      <c r="L54" s="23" t="s">
        <v>29</v>
      </c>
      <c r="M54" s="21">
        <v>2</v>
      </c>
      <c r="N54" s="22" t="s">
        <v>321</v>
      </c>
      <c r="O54" s="21">
        <v>2017</v>
      </c>
      <c r="P54" s="23" t="s">
        <v>14</v>
      </c>
      <c r="Q54" s="22"/>
    </row>
    <row r="55" spans="1:17" ht="30" x14ac:dyDescent="0.25">
      <c r="A55" s="22" cm="1">
        <f t="array" ref="A55">ROW()-ROW(main_table[#Headers])</f>
        <v>54</v>
      </c>
      <c r="B55" s="22">
        <v>54</v>
      </c>
      <c r="C55" s="23" t="s">
        <v>178</v>
      </c>
      <c r="D55" s="23" t="s">
        <v>174</v>
      </c>
      <c r="E55" s="23" t="s">
        <v>175</v>
      </c>
      <c r="F55" s="22" t="s">
        <v>202</v>
      </c>
      <c r="G55" s="23" t="s">
        <v>38</v>
      </c>
      <c r="H55" s="23" t="s">
        <v>18</v>
      </c>
      <c r="I55" s="21">
        <v>304</v>
      </c>
      <c r="J55" s="21" t="s">
        <v>438</v>
      </c>
      <c r="K55" s="21">
        <v>3</v>
      </c>
      <c r="L55" s="23" t="s">
        <v>29</v>
      </c>
      <c r="M55" s="21">
        <v>3</v>
      </c>
      <c r="N55" s="22" t="s">
        <v>321</v>
      </c>
      <c r="O55" s="21">
        <v>2017</v>
      </c>
      <c r="P55" s="23" t="s">
        <v>14</v>
      </c>
      <c r="Q55" s="22"/>
    </row>
    <row r="56" spans="1:17" ht="30" x14ac:dyDescent="0.25">
      <c r="A56" s="22" cm="1">
        <f t="array" ref="A56">ROW()-ROW(main_table[#Headers])</f>
        <v>55</v>
      </c>
      <c r="B56" s="22">
        <v>55</v>
      </c>
      <c r="C56" s="23" t="s">
        <v>179</v>
      </c>
      <c r="D56" s="23" t="s">
        <v>180</v>
      </c>
      <c r="E56" s="23" t="s">
        <v>181</v>
      </c>
      <c r="F56" s="22" t="s">
        <v>182</v>
      </c>
      <c r="G56" s="23" t="s">
        <v>35</v>
      </c>
      <c r="H56" s="21" t="s">
        <v>18</v>
      </c>
      <c r="I56" s="21">
        <v>288</v>
      </c>
      <c r="J56" s="21" t="s">
        <v>438</v>
      </c>
      <c r="K56" s="21">
        <v>4</v>
      </c>
      <c r="L56" s="23" t="s">
        <v>29</v>
      </c>
      <c r="M56" s="21"/>
      <c r="N56" s="22"/>
      <c r="O56" s="21">
        <v>2012</v>
      </c>
      <c r="P56" s="22" t="s">
        <v>29</v>
      </c>
      <c r="Q56" s="22"/>
    </row>
    <row r="57" spans="1:17" ht="45" x14ac:dyDescent="0.25">
      <c r="A57" s="22" cm="1">
        <f t="array" ref="A57">ROW()-ROW(main_table[#Headers])</f>
        <v>56</v>
      </c>
      <c r="B57" s="22">
        <v>56</v>
      </c>
      <c r="C57" s="23" t="s">
        <v>183</v>
      </c>
      <c r="D57" s="23" t="s">
        <v>184</v>
      </c>
      <c r="E57" s="23" t="s">
        <v>185</v>
      </c>
      <c r="F57" s="22" t="s">
        <v>166</v>
      </c>
      <c r="G57" s="23" t="s">
        <v>35</v>
      </c>
      <c r="H57" s="23" t="s">
        <v>18</v>
      </c>
      <c r="I57" s="21">
        <v>272</v>
      </c>
      <c r="J57" s="21" t="s">
        <v>438</v>
      </c>
      <c r="K57" s="21">
        <v>5</v>
      </c>
      <c r="L57" s="23" t="s">
        <v>29</v>
      </c>
      <c r="M57" s="21"/>
      <c r="N57" s="22"/>
      <c r="O57" s="21">
        <v>1985</v>
      </c>
      <c r="P57" s="23" t="s">
        <v>29</v>
      </c>
      <c r="Q57" s="22" t="s">
        <v>17</v>
      </c>
    </row>
    <row r="58" spans="1:17" ht="30" x14ac:dyDescent="0.25">
      <c r="A58" s="22" cm="1">
        <f t="array" ref="A58">ROW()-ROW(main_table[#Headers])</f>
        <v>57</v>
      </c>
      <c r="B58" s="22">
        <v>57</v>
      </c>
      <c r="C58" s="23" t="s">
        <v>186</v>
      </c>
      <c r="D58" s="23" t="s">
        <v>187</v>
      </c>
      <c r="E58" s="23" t="s">
        <v>188</v>
      </c>
      <c r="F58" s="22" t="s">
        <v>89</v>
      </c>
      <c r="G58" s="23" t="s">
        <v>19</v>
      </c>
      <c r="H58" s="23" t="s">
        <v>18</v>
      </c>
      <c r="I58" s="21">
        <v>736</v>
      </c>
      <c r="J58" s="21" t="s">
        <v>438</v>
      </c>
      <c r="K58" s="21">
        <v>5</v>
      </c>
      <c r="L58" s="23" t="s">
        <v>14</v>
      </c>
      <c r="M58" s="21">
        <v>2</v>
      </c>
      <c r="N58" s="22" t="s">
        <v>326</v>
      </c>
      <c r="O58" s="21">
        <v>2022</v>
      </c>
      <c r="P58" s="23" t="s">
        <v>29</v>
      </c>
      <c r="Q58" s="22"/>
    </row>
    <row r="59" spans="1:17" x14ac:dyDescent="0.25">
      <c r="A59" s="22" cm="1">
        <f t="array" ref="A59">ROW()-ROW(main_table[#Headers])</f>
        <v>58</v>
      </c>
      <c r="B59" s="22">
        <v>58</v>
      </c>
      <c r="C59" s="23" t="s">
        <v>189</v>
      </c>
      <c r="D59" s="23" t="s">
        <v>190</v>
      </c>
      <c r="E59" s="23" t="s">
        <v>191</v>
      </c>
      <c r="F59" s="22" t="s">
        <v>39</v>
      </c>
      <c r="G59" s="23" t="s">
        <v>35</v>
      </c>
      <c r="H59" s="23" t="s">
        <v>18</v>
      </c>
      <c r="I59" s="21">
        <v>800</v>
      </c>
      <c r="J59" s="21" t="s">
        <v>439</v>
      </c>
      <c r="K59" s="21">
        <v>4</v>
      </c>
      <c r="L59" s="23" t="s">
        <v>29</v>
      </c>
      <c r="M59" s="21"/>
      <c r="N59" s="22"/>
      <c r="O59" s="21">
        <v>2001</v>
      </c>
      <c r="P59" s="23" t="s">
        <v>29</v>
      </c>
      <c r="Q59" s="22"/>
    </row>
    <row r="60" spans="1:17" ht="45" x14ac:dyDescent="0.25">
      <c r="A60" s="22" cm="1">
        <f t="array" ref="A60">ROW()-ROW(main_table[#Headers])</f>
        <v>59</v>
      </c>
      <c r="B60" s="22">
        <v>59</v>
      </c>
      <c r="C60" s="23" t="s">
        <v>192</v>
      </c>
      <c r="D60" s="23" t="s">
        <v>193</v>
      </c>
      <c r="E60" s="23" t="s">
        <v>194</v>
      </c>
      <c r="F60" s="22" t="s">
        <v>195</v>
      </c>
      <c r="G60" s="23" t="s">
        <v>19</v>
      </c>
      <c r="H60" s="23" t="s">
        <v>18</v>
      </c>
      <c r="I60" s="21">
        <v>324</v>
      </c>
      <c r="J60" s="21" t="s">
        <v>439</v>
      </c>
      <c r="K60" s="21">
        <v>5</v>
      </c>
      <c r="L60" s="23" t="s">
        <v>14</v>
      </c>
      <c r="M60" s="21"/>
      <c r="N60" s="22"/>
      <c r="O60" s="21">
        <v>2023</v>
      </c>
      <c r="P60" s="23" t="s">
        <v>29</v>
      </c>
      <c r="Q60" s="22" t="s">
        <v>17</v>
      </c>
    </row>
    <row r="61" spans="1:17" ht="30" x14ac:dyDescent="0.25">
      <c r="A61" s="22" cm="1">
        <f t="array" ref="A61">ROW()-ROW(main_table[#Headers])</f>
        <v>60</v>
      </c>
      <c r="B61" s="22">
        <v>60</v>
      </c>
      <c r="C61" s="23" t="s">
        <v>196</v>
      </c>
      <c r="D61" s="23" t="s">
        <v>197</v>
      </c>
      <c r="E61" s="23" t="s">
        <v>198</v>
      </c>
      <c r="F61" s="22" t="s">
        <v>199</v>
      </c>
      <c r="G61" s="23" t="s">
        <v>19</v>
      </c>
      <c r="H61" s="23" t="s">
        <v>18</v>
      </c>
      <c r="I61" s="21">
        <v>320</v>
      </c>
      <c r="J61" s="21" t="s">
        <v>439</v>
      </c>
      <c r="K61" s="21">
        <v>5</v>
      </c>
      <c r="L61" s="23" t="s">
        <v>29</v>
      </c>
      <c r="M61" s="21">
        <v>1</v>
      </c>
      <c r="N61" s="22" t="s">
        <v>317</v>
      </c>
      <c r="O61" s="21">
        <v>2013</v>
      </c>
      <c r="P61" s="23" t="s">
        <v>29</v>
      </c>
      <c r="Q61" s="22"/>
    </row>
    <row r="62" spans="1:17" ht="30" x14ac:dyDescent="0.25">
      <c r="A62" s="22" cm="1">
        <f t="array" ref="A62">ROW()-ROW(main_table[#Headers])</f>
        <v>61</v>
      </c>
      <c r="B62" s="22">
        <v>61</v>
      </c>
      <c r="C62" s="23" t="s">
        <v>203</v>
      </c>
      <c r="D62" s="23" t="s">
        <v>197</v>
      </c>
      <c r="E62" s="23" t="s">
        <v>198</v>
      </c>
      <c r="F62" s="22" t="s">
        <v>199</v>
      </c>
      <c r="G62" s="23" t="s">
        <v>19</v>
      </c>
      <c r="H62" s="21" t="s">
        <v>18</v>
      </c>
      <c r="I62" s="21">
        <v>352</v>
      </c>
      <c r="J62" s="21" t="s">
        <v>439</v>
      </c>
      <c r="K62" s="21">
        <v>5</v>
      </c>
      <c r="L62" s="23" t="s">
        <v>29</v>
      </c>
      <c r="M62" s="21">
        <v>2</v>
      </c>
      <c r="N62" s="22" t="s">
        <v>317</v>
      </c>
      <c r="O62" s="21">
        <v>2014</v>
      </c>
      <c r="P62" s="22" t="s">
        <v>29</v>
      </c>
      <c r="Q62" s="22"/>
    </row>
    <row r="63" spans="1:17" ht="30" x14ac:dyDescent="0.25">
      <c r="A63" s="22" cm="1">
        <f t="array" ref="A63">ROW()-ROW(main_table[#Headers])</f>
        <v>62</v>
      </c>
      <c r="B63" s="22">
        <v>62</v>
      </c>
      <c r="C63" s="23" t="s">
        <v>204</v>
      </c>
      <c r="D63" s="23" t="s">
        <v>197</v>
      </c>
      <c r="E63" s="23" t="s">
        <v>198</v>
      </c>
      <c r="F63" s="22" t="s">
        <v>199</v>
      </c>
      <c r="G63" s="23" t="s">
        <v>19</v>
      </c>
      <c r="H63" s="23" t="s">
        <v>18</v>
      </c>
      <c r="I63" s="21">
        <v>352</v>
      </c>
      <c r="J63" s="21" t="s">
        <v>439</v>
      </c>
      <c r="K63" s="21">
        <v>5</v>
      </c>
      <c r="L63" s="23" t="s">
        <v>29</v>
      </c>
      <c r="M63" s="21">
        <v>3</v>
      </c>
      <c r="N63" s="22" t="s">
        <v>317</v>
      </c>
      <c r="O63" s="21">
        <v>2015</v>
      </c>
      <c r="P63" s="23" t="s">
        <v>29</v>
      </c>
      <c r="Q63" s="22"/>
    </row>
    <row r="64" spans="1:17" ht="30" x14ac:dyDescent="0.25">
      <c r="A64" s="22" cm="1">
        <f t="array" ref="A64">ROW()-ROW(main_table[#Headers])</f>
        <v>63</v>
      </c>
      <c r="B64" s="22">
        <v>63</v>
      </c>
      <c r="C64" s="23" t="s">
        <v>205</v>
      </c>
      <c r="D64" s="23" t="s">
        <v>197</v>
      </c>
      <c r="E64" s="23" t="s">
        <v>198</v>
      </c>
      <c r="F64" s="22" t="s">
        <v>199</v>
      </c>
      <c r="G64" s="23" t="s">
        <v>19</v>
      </c>
      <c r="H64" s="23" t="s">
        <v>18</v>
      </c>
      <c r="I64" s="21">
        <v>392</v>
      </c>
      <c r="J64" s="21" t="s">
        <v>439</v>
      </c>
      <c r="K64" s="21">
        <v>5</v>
      </c>
      <c r="L64" s="23" t="s">
        <v>29</v>
      </c>
      <c r="M64" s="21">
        <v>4</v>
      </c>
      <c r="N64" s="22" t="s">
        <v>317</v>
      </c>
      <c r="O64" s="21">
        <v>2016</v>
      </c>
      <c r="P64" s="23" t="s">
        <v>29</v>
      </c>
      <c r="Q64" s="22"/>
    </row>
    <row r="65" spans="1:17" ht="30" x14ac:dyDescent="0.25">
      <c r="A65" s="22" cm="1">
        <f t="array" ref="A65">ROW()-ROW(main_table[#Headers])</f>
        <v>64</v>
      </c>
      <c r="B65" s="22">
        <v>64</v>
      </c>
      <c r="C65" s="23" t="s">
        <v>206</v>
      </c>
      <c r="D65" s="23" t="s">
        <v>197</v>
      </c>
      <c r="E65" s="23" t="s">
        <v>198</v>
      </c>
      <c r="F65" s="22" t="s">
        <v>199</v>
      </c>
      <c r="G65" s="23" t="s">
        <v>19</v>
      </c>
      <c r="H65" s="23" t="s">
        <v>18</v>
      </c>
      <c r="I65" s="21">
        <v>400</v>
      </c>
      <c r="J65" s="21" t="s">
        <v>439</v>
      </c>
      <c r="K65" s="21">
        <v>5</v>
      </c>
      <c r="L65" s="23" t="s">
        <v>29</v>
      </c>
      <c r="M65" s="21">
        <v>5</v>
      </c>
      <c r="N65" s="22" t="s">
        <v>317</v>
      </c>
      <c r="O65" s="21">
        <v>2017</v>
      </c>
      <c r="P65" s="23" t="s">
        <v>29</v>
      </c>
      <c r="Q65" s="22"/>
    </row>
    <row r="66" spans="1:17" ht="30" x14ac:dyDescent="0.25">
      <c r="A66" s="22" cm="1">
        <f t="array" ref="A66">ROW()-ROW(main_table[#Headers])</f>
        <v>65</v>
      </c>
      <c r="B66" s="22">
        <v>65</v>
      </c>
      <c r="C66" s="23" t="s">
        <v>207</v>
      </c>
      <c r="D66" s="23" t="s">
        <v>208</v>
      </c>
      <c r="E66" s="23" t="s">
        <v>209</v>
      </c>
      <c r="F66" s="22" t="s">
        <v>145</v>
      </c>
      <c r="G66" s="23" t="s">
        <v>38</v>
      </c>
      <c r="H66" s="23" t="s">
        <v>18</v>
      </c>
      <c r="I66" s="21">
        <v>336</v>
      </c>
      <c r="J66" s="21" t="s">
        <v>439</v>
      </c>
      <c r="K66" s="21">
        <v>5</v>
      </c>
      <c r="L66" s="23" t="s">
        <v>14</v>
      </c>
      <c r="M66" s="21"/>
      <c r="N66" s="22"/>
      <c r="O66" s="21">
        <v>2025</v>
      </c>
      <c r="P66" s="23" t="s">
        <v>14</v>
      </c>
      <c r="Q66" s="22" t="s">
        <v>17</v>
      </c>
    </row>
    <row r="67" spans="1:17" ht="45" x14ac:dyDescent="0.25">
      <c r="A67" s="22" cm="1">
        <f t="array" ref="A67">ROW()-ROW(main_table[#Headers])</f>
        <v>66</v>
      </c>
      <c r="B67" s="22">
        <v>66</v>
      </c>
      <c r="C67" s="23" t="s">
        <v>210</v>
      </c>
      <c r="D67" s="23" t="s">
        <v>174</v>
      </c>
      <c r="E67" s="23" t="s">
        <v>175</v>
      </c>
      <c r="F67" s="22" t="s">
        <v>202</v>
      </c>
      <c r="G67" s="23" t="s">
        <v>38</v>
      </c>
      <c r="H67" s="23" t="s">
        <v>18</v>
      </c>
      <c r="I67" s="21">
        <v>304</v>
      </c>
      <c r="J67" s="21" t="s">
        <v>439</v>
      </c>
      <c r="K67" s="21">
        <v>3</v>
      </c>
      <c r="L67" s="23" t="s">
        <v>29</v>
      </c>
      <c r="M67" s="21">
        <v>4</v>
      </c>
      <c r="N67" s="22" t="s">
        <v>322</v>
      </c>
      <c r="O67" s="21">
        <v>2017</v>
      </c>
      <c r="P67" s="23" t="s">
        <v>14</v>
      </c>
      <c r="Q67" s="22"/>
    </row>
    <row r="68" spans="1:17" ht="45" x14ac:dyDescent="0.25">
      <c r="A68" s="22" cm="1">
        <f t="array" ref="A68">ROW()-ROW(main_table[#Headers])</f>
        <v>67</v>
      </c>
      <c r="B68" s="22">
        <v>67</v>
      </c>
      <c r="C68" s="23" t="s">
        <v>211</v>
      </c>
      <c r="D68" s="23" t="s">
        <v>174</v>
      </c>
      <c r="E68" s="23" t="s">
        <v>175</v>
      </c>
      <c r="F68" s="22" t="s">
        <v>202</v>
      </c>
      <c r="G68" s="23" t="s">
        <v>38</v>
      </c>
      <c r="H68" s="23" t="s">
        <v>18</v>
      </c>
      <c r="I68" s="21">
        <v>288</v>
      </c>
      <c r="J68" s="21" t="s">
        <v>439</v>
      </c>
      <c r="K68" s="21">
        <v>3</v>
      </c>
      <c r="L68" s="23" t="s">
        <v>29</v>
      </c>
      <c r="M68" s="21">
        <v>5</v>
      </c>
      <c r="N68" s="22" t="s">
        <v>322</v>
      </c>
      <c r="O68" s="21">
        <v>2017</v>
      </c>
      <c r="P68" s="23" t="s">
        <v>14</v>
      </c>
      <c r="Q68" s="22"/>
    </row>
    <row r="69" spans="1:17" ht="45" x14ac:dyDescent="0.25">
      <c r="A69" s="22" cm="1">
        <f t="array" ref="A69">ROW()-ROW(main_table[#Headers])</f>
        <v>68</v>
      </c>
      <c r="B69" s="22">
        <v>68</v>
      </c>
      <c r="C69" s="23" t="s">
        <v>212</v>
      </c>
      <c r="D69" s="23" t="s">
        <v>174</v>
      </c>
      <c r="E69" s="23" t="s">
        <v>175</v>
      </c>
      <c r="F69" s="22" t="s">
        <v>202</v>
      </c>
      <c r="G69" s="23" t="s">
        <v>38</v>
      </c>
      <c r="H69" s="23" t="s">
        <v>18</v>
      </c>
      <c r="I69" s="21">
        <v>304</v>
      </c>
      <c r="J69" s="21" t="s">
        <v>439</v>
      </c>
      <c r="K69" s="21">
        <v>3</v>
      </c>
      <c r="L69" s="23" t="s">
        <v>29</v>
      </c>
      <c r="M69" s="21">
        <v>6</v>
      </c>
      <c r="N69" s="22" t="s">
        <v>322</v>
      </c>
      <c r="O69" s="21">
        <v>2018</v>
      </c>
      <c r="P69" s="23" t="s">
        <v>14</v>
      </c>
      <c r="Q69" s="22"/>
    </row>
    <row r="70" spans="1:17" x14ac:dyDescent="0.25">
      <c r="A70" s="22" cm="1">
        <f t="array" ref="A70">ROW()-ROW(main_table[#Headers])</f>
        <v>69</v>
      </c>
      <c r="B70" s="22">
        <v>69</v>
      </c>
      <c r="C70" s="23" t="s">
        <v>200</v>
      </c>
      <c r="D70" s="23" t="s">
        <v>174</v>
      </c>
      <c r="E70" s="23" t="s">
        <v>201</v>
      </c>
      <c r="F70" s="22" t="s">
        <v>202</v>
      </c>
      <c r="G70" s="23" t="s">
        <v>35</v>
      </c>
      <c r="H70" s="23" t="s">
        <v>18</v>
      </c>
      <c r="I70" s="21">
        <v>448</v>
      </c>
      <c r="J70" s="21" t="s">
        <v>439</v>
      </c>
      <c r="K70" s="21">
        <v>4</v>
      </c>
      <c r="L70" s="23" t="s">
        <v>29</v>
      </c>
      <c r="M70" s="21"/>
      <c r="N70" s="22"/>
      <c r="O70" s="21">
        <v>2016</v>
      </c>
      <c r="P70" s="23" t="s">
        <v>29</v>
      </c>
      <c r="Q70" s="22"/>
    </row>
    <row r="71" spans="1:17" ht="30" x14ac:dyDescent="0.25">
      <c r="A71" s="22" cm="1">
        <f t="array" ref="A71">ROW()-ROW(main_table[#Headers])</f>
        <v>70</v>
      </c>
      <c r="B71" s="22">
        <v>70</v>
      </c>
      <c r="C71" s="23" t="s">
        <v>213</v>
      </c>
      <c r="D71" s="23" t="s">
        <v>187</v>
      </c>
      <c r="E71" s="23" t="s">
        <v>214</v>
      </c>
      <c r="F71" s="22" t="s">
        <v>145</v>
      </c>
      <c r="G71" s="23" t="s">
        <v>38</v>
      </c>
      <c r="H71" s="23" t="s">
        <v>18</v>
      </c>
      <c r="I71" s="21">
        <v>392</v>
      </c>
      <c r="J71" s="21" t="s">
        <v>439</v>
      </c>
      <c r="K71" s="21">
        <v>5</v>
      </c>
      <c r="L71" s="23" t="s">
        <v>14</v>
      </c>
      <c r="M71" s="21"/>
      <c r="N71" s="22"/>
      <c r="O71" s="21">
        <v>2021</v>
      </c>
      <c r="P71" s="23" t="s">
        <v>14</v>
      </c>
      <c r="Q71" s="22" t="s">
        <v>17</v>
      </c>
    </row>
    <row r="72" spans="1:17" ht="30" x14ac:dyDescent="0.25">
      <c r="A72" s="22" cm="1">
        <f t="array" ref="A72">ROW()-ROW(main_table[#Headers])</f>
        <v>71</v>
      </c>
      <c r="B72" s="22">
        <v>71</v>
      </c>
      <c r="C72" s="23" t="s">
        <v>215</v>
      </c>
      <c r="D72" s="23" t="s">
        <v>216</v>
      </c>
      <c r="E72" s="23" t="s">
        <v>217</v>
      </c>
      <c r="F72" s="22" t="s">
        <v>218</v>
      </c>
      <c r="G72" s="23" t="s">
        <v>35</v>
      </c>
      <c r="H72" s="21" t="s">
        <v>18</v>
      </c>
      <c r="I72" s="21">
        <v>159</v>
      </c>
      <c r="J72" s="21" t="s">
        <v>439</v>
      </c>
      <c r="K72" s="21">
        <v>5</v>
      </c>
      <c r="L72" s="23" t="s">
        <v>29</v>
      </c>
      <c r="M72" s="21"/>
      <c r="N72" s="22"/>
      <c r="O72" s="21">
        <v>1922</v>
      </c>
      <c r="P72" s="22" t="s">
        <v>29</v>
      </c>
      <c r="Q72" s="22"/>
    </row>
    <row r="73" spans="1:17" ht="30" x14ac:dyDescent="0.25">
      <c r="A73" s="22" cm="1">
        <f t="array" ref="A73">ROW()-ROW(main_table[#Headers])</f>
        <v>72</v>
      </c>
      <c r="B73" s="22">
        <v>72</v>
      </c>
      <c r="C73" s="23" t="s">
        <v>219</v>
      </c>
      <c r="D73" s="23" t="s">
        <v>220</v>
      </c>
      <c r="E73" s="23" t="s">
        <v>221</v>
      </c>
      <c r="F73" s="22" t="s">
        <v>145</v>
      </c>
      <c r="G73" s="23" t="s">
        <v>38</v>
      </c>
      <c r="H73" s="21" t="s">
        <v>18</v>
      </c>
      <c r="I73" s="21">
        <v>400</v>
      </c>
      <c r="J73" s="21" t="s">
        <v>439</v>
      </c>
      <c r="K73" s="21">
        <v>5</v>
      </c>
      <c r="L73" s="23" t="s">
        <v>14</v>
      </c>
      <c r="M73" s="21"/>
      <c r="N73" s="22"/>
      <c r="O73" s="21">
        <v>2018</v>
      </c>
      <c r="P73" s="22" t="s">
        <v>14</v>
      </c>
      <c r="Q73" s="22"/>
    </row>
    <row r="74" spans="1:17" x14ac:dyDescent="0.25">
      <c r="A74" s="22" cm="1">
        <f t="array" ref="A74">ROW()-ROW(main_table[#Headers])</f>
        <v>73</v>
      </c>
      <c r="B74" s="22">
        <v>73</v>
      </c>
      <c r="C74" s="23" t="s">
        <v>222</v>
      </c>
      <c r="D74" s="23" t="s">
        <v>223</v>
      </c>
      <c r="E74" s="23" t="s">
        <v>224</v>
      </c>
      <c r="F74" s="22" t="s">
        <v>26</v>
      </c>
      <c r="G74" s="23" t="s">
        <v>35</v>
      </c>
      <c r="H74" s="21" t="s">
        <v>18</v>
      </c>
      <c r="I74" s="21">
        <v>148</v>
      </c>
      <c r="J74" s="21" t="s">
        <v>439</v>
      </c>
      <c r="K74" s="21">
        <v>4</v>
      </c>
      <c r="L74" s="23" t="s">
        <v>29</v>
      </c>
      <c r="M74" s="21"/>
      <c r="N74" s="22"/>
      <c r="O74" s="21">
        <v>1975</v>
      </c>
      <c r="P74" s="22" t="s">
        <v>29</v>
      </c>
      <c r="Q74" s="22"/>
    </row>
    <row r="75" spans="1:17" ht="30" x14ac:dyDescent="0.25">
      <c r="A75" s="22" cm="1">
        <f t="array" ref="A75">ROW()-ROW(main_table[#Headers])</f>
        <v>74</v>
      </c>
      <c r="B75" s="22">
        <v>74</v>
      </c>
      <c r="C75" s="23" t="s">
        <v>82</v>
      </c>
      <c r="D75" s="23" t="s">
        <v>83</v>
      </c>
      <c r="E75" s="22" t="s">
        <v>84</v>
      </c>
      <c r="F75" s="22" t="s">
        <v>13</v>
      </c>
      <c r="G75" s="23" t="s">
        <v>19</v>
      </c>
      <c r="H75" s="21" t="s">
        <v>30</v>
      </c>
      <c r="I75" s="21">
        <v>320</v>
      </c>
      <c r="J75" s="21" t="s">
        <v>439</v>
      </c>
      <c r="K75" s="21">
        <v>5</v>
      </c>
      <c r="L75" s="23" t="s">
        <v>14</v>
      </c>
      <c r="M75" s="21"/>
      <c r="N75" s="22"/>
      <c r="O75" s="21">
        <v>1872</v>
      </c>
      <c r="P75" s="22" t="s">
        <v>14</v>
      </c>
      <c r="Q75" s="22"/>
    </row>
    <row r="76" spans="1:17" ht="45" x14ac:dyDescent="0.25">
      <c r="A76" s="22" cm="1">
        <f t="array" ref="A76">ROW()-ROW(main_table[#Headers])</f>
        <v>75</v>
      </c>
      <c r="B76" s="22">
        <v>75</v>
      </c>
      <c r="C76" s="23" t="s">
        <v>225</v>
      </c>
      <c r="D76" s="23" t="s">
        <v>226</v>
      </c>
      <c r="E76" s="23" t="s">
        <v>227</v>
      </c>
      <c r="F76" s="22" t="s">
        <v>228</v>
      </c>
      <c r="G76" s="23" t="s">
        <v>38</v>
      </c>
      <c r="H76" s="23" t="s">
        <v>18</v>
      </c>
      <c r="I76" s="21">
        <v>352</v>
      </c>
      <c r="J76" s="21" t="s">
        <v>440</v>
      </c>
      <c r="K76" s="21">
        <v>5</v>
      </c>
      <c r="L76" s="23" t="s">
        <v>14</v>
      </c>
      <c r="M76" s="21"/>
      <c r="N76" s="22"/>
      <c r="O76" s="21">
        <v>2021</v>
      </c>
      <c r="P76" s="23" t="s">
        <v>14</v>
      </c>
      <c r="Q76" s="22" t="s">
        <v>17</v>
      </c>
    </row>
    <row r="77" spans="1:17" ht="30" x14ac:dyDescent="0.25">
      <c r="A77" s="22" cm="1">
        <f t="array" ref="A77">ROW()-ROW(main_table[#Headers])</f>
        <v>76</v>
      </c>
      <c r="B77" s="22">
        <v>76</v>
      </c>
      <c r="C77" s="23" t="s">
        <v>229</v>
      </c>
      <c r="D77" s="23" t="s">
        <v>230</v>
      </c>
      <c r="E77" s="23" t="s">
        <v>231</v>
      </c>
      <c r="F77" s="22" t="s">
        <v>232</v>
      </c>
      <c r="G77" s="23" t="s">
        <v>35</v>
      </c>
      <c r="H77" s="23" t="s">
        <v>18</v>
      </c>
      <c r="I77" s="21">
        <v>288</v>
      </c>
      <c r="J77" s="21" t="s">
        <v>440</v>
      </c>
      <c r="K77" s="21">
        <v>5</v>
      </c>
      <c r="L77" s="23" t="s">
        <v>29</v>
      </c>
      <c r="M77" s="21"/>
      <c r="N77" s="22"/>
      <c r="O77" s="21">
        <v>1890</v>
      </c>
      <c r="P77" s="23" t="s">
        <v>29</v>
      </c>
      <c r="Q77" s="22"/>
    </row>
    <row r="78" spans="1:17" ht="30" x14ac:dyDescent="0.25">
      <c r="A78" s="22" cm="1">
        <f t="array" ref="A78">ROW()-ROW(main_table[#Headers])</f>
        <v>77</v>
      </c>
      <c r="B78" s="22">
        <v>77</v>
      </c>
      <c r="C78" s="23" t="s">
        <v>233</v>
      </c>
      <c r="D78" s="23" t="s">
        <v>234</v>
      </c>
      <c r="E78" s="23" t="s">
        <v>235</v>
      </c>
      <c r="F78" s="22" t="s">
        <v>236</v>
      </c>
      <c r="G78" s="23" t="s">
        <v>38</v>
      </c>
      <c r="H78" s="21" t="s">
        <v>18</v>
      </c>
      <c r="I78" s="21">
        <v>180</v>
      </c>
      <c r="J78" s="21" t="s">
        <v>440</v>
      </c>
      <c r="K78" s="21">
        <v>5</v>
      </c>
      <c r="L78" s="23" t="s">
        <v>14</v>
      </c>
      <c r="M78" s="21"/>
      <c r="N78" s="22"/>
      <c r="O78" s="21">
        <v>2003</v>
      </c>
      <c r="P78" s="22" t="s">
        <v>14</v>
      </c>
      <c r="Q78" s="22"/>
    </row>
    <row r="79" spans="1:17" ht="30" x14ac:dyDescent="0.25">
      <c r="A79" s="22" cm="1">
        <f t="array" ref="A79">ROW()-ROW(main_table[#Headers])</f>
        <v>78</v>
      </c>
      <c r="B79" s="22">
        <v>78</v>
      </c>
      <c r="C79" s="23" t="s">
        <v>237</v>
      </c>
      <c r="D79" s="23" t="s">
        <v>238</v>
      </c>
      <c r="E79" s="23" t="s">
        <v>239</v>
      </c>
      <c r="F79" s="22" t="s">
        <v>162</v>
      </c>
      <c r="G79" s="23" t="s">
        <v>35</v>
      </c>
      <c r="H79" s="23" t="s">
        <v>18</v>
      </c>
      <c r="I79" s="21">
        <v>480</v>
      </c>
      <c r="J79" s="21" t="s">
        <v>440</v>
      </c>
      <c r="K79" s="21">
        <v>5</v>
      </c>
      <c r="L79" s="23" t="s">
        <v>29</v>
      </c>
      <c r="M79" s="21"/>
      <c r="N79" s="22"/>
      <c r="O79" s="21">
        <v>1819</v>
      </c>
      <c r="P79" s="23" t="s">
        <v>29</v>
      </c>
      <c r="Q79" s="22"/>
    </row>
    <row r="80" spans="1:17" ht="30" x14ac:dyDescent="0.25">
      <c r="A80" s="22" cm="1">
        <f t="array" ref="A80">ROW()-ROW(main_table[#Headers])</f>
        <v>79</v>
      </c>
      <c r="B80" s="22">
        <v>79</v>
      </c>
      <c r="C80" s="23" t="s">
        <v>240</v>
      </c>
      <c r="D80" s="23" t="s">
        <v>187</v>
      </c>
      <c r="E80" s="23" t="s">
        <v>214</v>
      </c>
      <c r="F80" s="22" t="s">
        <v>145</v>
      </c>
      <c r="G80" s="23" t="s">
        <v>38</v>
      </c>
      <c r="H80" s="23" t="s">
        <v>18</v>
      </c>
      <c r="I80" s="21">
        <v>400</v>
      </c>
      <c r="J80" s="21" t="s">
        <v>440</v>
      </c>
      <c r="K80" s="21">
        <v>5</v>
      </c>
      <c r="L80" s="23" t="s">
        <v>14</v>
      </c>
      <c r="M80" s="21"/>
      <c r="N80" s="22"/>
      <c r="O80" s="21">
        <v>2025</v>
      </c>
      <c r="P80" s="23" t="s">
        <v>14</v>
      </c>
      <c r="Q80" s="22"/>
    </row>
    <row r="81" spans="1:17" ht="30" x14ac:dyDescent="0.25">
      <c r="A81" s="22" cm="1">
        <f t="array" ref="A81">ROW()-ROW(main_table[#Headers])</f>
        <v>80</v>
      </c>
      <c r="B81" s="22">
        <v>80</v>
      </c>
      <c r="C81" s="23" t="s">
        <v>241</v>
      </c>
      <c r="D81" s="23" t="s">
        <v>242</v>
      </c>
      <c r="E81" s="23" t="s">
        <v>243</v>
      </c>
      <c r="F81" s="22" t="s">
        <v>162</v>
      </c>
      <c r="G81" s="23" t="s">
        <v>35</v>
      </c>
      <c r="H81" s="23" t="s">
        <v>18</v>
      </c>
      <c r="I81" s="21">
        <v>575</v>
      </c>
      <c r="J81" s="21" t="s">
        <v>440</v>
      </c>
      <c r="K81" s="21">
        <v>5</v>
      </c>
      <c r="L81" s="23" t="s">
        <v>29</v>
      </c>
      <c r="M81" s="21"/>
      <c r="N81" s="22"/>
      <c r="O81" s="21">
        <v>1889</v>
      </c>
      <c r="P81" s="23" t="s">
        <v>29</v>
      </c>
      <c r="Q81" s="22"/>
    </row>
    <row r="82" spans="1:17" ht="30" x14ac:dyDescent="0.25">
      <c r="A82" s="22" cm="1">
        <f t="array" ref="A82">ROW()-ROW(main_table[#Headers])</f>
        <v>81</v>
      </c>
      <c r="B82" s="22">
        <v>81</v>
      </c>
      <c r="C82" s="23" t="s">
        <v>244</v>
      </c>
      <c r="D82" s="23" t="s">
        <v>187</v>
      </c>
      <c r="E82" s="23" t="s">
        <v>214</v>
      </c>
      <c r="F82" s="22" t="s">
        <v>145</v>
      </c>
      <c r="G82" s="23" t="s">
        <v>38</v>
      </c>
      <c r="H82" s="23" t="s">
        <v>18</v>
      </c>
      <c r="I82" s="21">
        <v>336</v>
      </c>
      <c r="J82" s="21" t="s">
        <v>440</v>
      </c>
      <c r="K82" s="21">
        <v>5</v>
      </c>
      <c r="L82" s="23" t="s">
        <v>14</v>
      </c>
      <c r="M82" s="21"/>
      <c r="N82" s="22"/>
      <c r="O82" s="21">
        <v>2024</v>
      </c>
      <c r="P82" s="23" t="s">
        <v>14</v>
      </c>
      <c r="Q82" s="22"/>
    </row>
    <row r="83" spans="1:17" ht="30" x14ac:dyDescent="0.25">
      <c r="A83" s="22" cm="1">
        <f t="array" ref="A83">ROW()-ROW(main_table[#Headers])</f>
        <v>82</v>
      </c>
      <c r="B83" s="22">
        <v>82</v>
      </c>
      <c r="C83" s="23" t="s">
        <v>245</v>
      </c>
      <c r="D83" s="23" t="s">
        <v>246</v>
      </c>
      <c r="E83" s="23" t="s">
        <v>247</v>
      </c>
      <c r="F83" s="22" t="s">
        <v>248</v>
      </c>
      <c r="G83" s="23" t="s">
        <v>19</v>
      </c>
      <c r="H83" s="23" t="s">
        <v>18</v>
      </c>
      <c r="I83" s="21">
        <v>176</v>
      </c>
      <c r="J83" s="21" t="s">
        <v>440</v>
      </c>
      <c r="K83" s="21">
        <v>5</v>
      </c>
      <c r="L83" s="23" t="s">
        <v>14</v>
      </c>
      <c r="M83" s="21"/>
      <c r="N83" s="22"/>
      <c r="O83" s="21">
        <v>2015</v>
      </c>
      <c r="P83" s="23" t="s">
        <v>29</v>
      </c>
      <c r="Q83" s="22"/>
    </row>
    <row r="84" spans="1:17" ht="30" x14ac:dyDescent="0.25">
      <c r="A84" s="22" cm="1">
        <f t="array" ref="A84">ROW()-ROW(main_table[#Headers])</f>
        <v>83</v>
      </c>
      <c r="B84" s="22">
        <v>83</v>
      </c>
      <c r="C84" s="23" t="s">
        <v>249</v>
      </c>
      <c r="D84" s="23" t="s">
        <v>220</v>
      </c>
      <c r="E84" s="23" t="s">
        <v>221</v>
      </c>
      <c r="F84" s="23" t="s">
        <v>145</v>
      </c>
      <c r="G84" s="23" t="s">
        <v>38</v>
      </c>
      <c r="H84" s="23" t="s">
        <v>18</v>
      </c>
      <c r="I84" s="21">
        <v>368</v>
      </c>
      <c r="J84" s="21" t="s">
        <v>440</v>
      </c>
      <c r="K84" s="21">
        <v>5</v>
      </c>
      <c r="L84" s="23" t="s">
        <v>14</v>
      </c>
      <c r="M84" s="21"/>
      <c r="N84" s="22"/>
      <c r="O84" s="21">
        <v>2011</v>
      </c>
      <c r="P84" s="23" t="s">
        <v>14</v>
      </c>
      <c r="Q84" s="22"/>
    </row>
    <row r="85" spans="1:17" ht="30" x14ac:dyDescent="0.25">
      <c r="A85" s="22" cm="1">
        <f t="array" ref="A85">ROW()-ROW(main_table[#Headers])</f>
        <v>84</v>
      </c>
      <c r="B85" s="22">
        <v>84</v>
      </c>
      <c r="C85" s="23" t="s">
        <v>250</v>
      </c>
      <c r="D85" s="23" t="s">
        <v>251</v>
      </c>
      <c r="E85" s="23" t="s">
        <v>252</v>
      </c>
      <c r="F85" s="22" t="s">
        <v>253</v>
      </c>
      <c r="G85" s="23" t="s">
        <v>19</v>
      </c>
      <c r="H85" s="23" t="s">
        <v>18</v>
      </c>
      <c r="I85" s="21">
        <v>192</v>
      </c>
      <c r="J85" s="21" t="s">
        <v>440</v>
      </c>
      <c r="K85" s="21">
        <v>4</v>
      </c>
      <c r="L85" s="23" t="s">
        <v>14</v>
      </c>
      <c r="M85" s="21"/>
      <c r="N85" s="22"/>
      <c r="O85" s="21">
        <v>2023</v>
      </c>
      <c r="P85" s="23" t="s">
        <v>29</v>
      </c>
      <c r="Q85" s="22"/>
    </row>
    <row r="86" spans="1:17" ht="30" x14ac:dyDescent="0.25">
      <c r="A86" s="22" cm="1">
        <f t="array" ref="A86">ROW()-ROW(main_table[#Headers])</f>
        <v>85</v>
      </c>
      <c r="B86" s="22">
        <v>85</v>
      </c>
      <c r="C86" s="23" t="s">
        <v>254</v>
      </c>
      <c r="D86" s="23" t="s">
        <v>187</v>
      </c>
      <c r="E86" s="23" t="s">
        <v>214</v>
      </c>
      <c r="F86" s="22" t="s">
        <v>145</v>
      </c>
      <c r="G86" s="23" t="s">
        <v>38</v>
      </c>
      <c r="H86" s="23" t="s">
        <v>18</v>
      </c>
      <c r="I86" s="21">
        <v>368</v>
      </c>
      <c r="J86" s="21" t="s">
        <v>441</v>
      </c>
      <c r="K86" s="21">
        <v>5</v>
      </c>
      <c r="L86" s="23" t="s">
        <v>14</v>
      </c>
      <c r="M86" s="21"/>
      <c r="N86" s="22"/>
      <c r="O86" s="21">
        <v>2025</v>
      </c>
      <c r="P86" s="23" t="s">
        <v>14</v>
      </c>
      <c r="Q86" s="22" t="s">
        <v>17</v>
      </c>
    </row>
    <row r="87" spans="1:17" ht="30" x14ac:dyDescent="0.25">
      <c r="A87" s="22" cm="1">
        <f t="array" ref="A87">ROW()-ROW(main_table[#Headers])</f>
        <v>86</v>
      </c>
      <c r="B87" s="22">
        <v>86</v>
      </c>
      <c r="C87" s="23" t="s">
        <v>255</v>
      </c>
      <c r="D87" s="23" t="s">
        <v>256</v>
      </c>
      <c r="E87" s="23" t="s">
        <v>257</v>
      </c>
      <c r="F87" s="22" t="s">
        <v>162</v>
      </c>
      <c r="G87" s="23" t="s">
        <v>35</v>
      </c>
      <c r="H87" s="23" t="s">
        <v>18</v>
      </c>
      <c r="I87" s="21">
        <v>448</v>
      </c>
      <c r="J87" s="21" t="s">
        <v>441</v>
      </c>
      <c r="K87" s="21">
        <v>5</v>
      </c>
      <c r="L87" s="23" t="s">
        <v>29</v>
      </c>
      <c r="M87" s="21"/>
      <c r="N87" s="22"/>
      <c r="O87" s="21">
        <v>1841</v>
      </c>
      <c r="P87" s="23" t="s">
        <v>29</v>
      </c>
      <c r="Q87" s="22" t="s">
        <v>17</v>
      </c>
    </row>
    <row r="88" spans="1:17" ht="30" x14ac:dyDescent="0.25">
      <c r="A88" s="22" cm="1">
        <f t="array" ref="A88">ROW()-ROW(main_table[#Headers])</f>
        <v>87</v>
      </c>
      <c r="B88" s="22">
        <v>87</v>
      </c>
      <c r="C88" s="23" t="s">
        <v>258</v>
      </c>
      <c r="D88" s="23" t="s">
        <v>259</v>
      </c>
      <c r="E88" s="23" t="s">
        <v>260</v>
      </c>
      <c r="F88" s="22" t="s">
        <v>145</v>
      </c>
      <c r="G88" s="23" t="s">
        <v>38</v>
      </c>
      <c r="H88" s="23" t="s">
        <v>18</v>
      </c>
      <c r="I88" s="21">
        <v>344</v>
      </c>
      <c r="J88" s="21" t="s">
        <v>441</v>
      </c>
      <c r="K88" s="21">
        <v>5</v>
      </c>
      <c r="L88" s="23" t="s">
        <v>14</v>
      </c>
      <c r="M88" s="21"/>
      <c r="N88" s="22"/>
      <c r="O88" s="21">
        <v>2025</v>
      </c>
      <c r="P88" s="23" t="s">
        <v>14</v>
      </c>
      <c r="Q88" s="22"/>
    </row>
    <row r="89" spans="1:17" ht="30" x14ac:dyDescent="0.25">
      <c r="A89" s="22" cm="1">
        <f t="array" ref="A89">ROW()-ROW(main_table[#Headers])</f>
        <v>88</v>
      </c>
      <c r="B89" s="22">
        <v>88</v>
      </c>
      <c r="C89" s="23" t="s">
        <v>261</v>
      </c>
      <c r="D89" s="23" t="s">
        <v>262</v>
      </c>
      <c r="E89" s="23" t="s">
        <v>263</v>
      </c>
      <c r="F89" s="22" t="s">
        <v>93</v>
      </c>
      <c r="G89" s="23" t="s">
        <v>35</v>
      </c>
      <c r="H89" s="23" t="s">
        <v>18</v>
      </c>
      <c r="I89" s="21">
        <v>176</v>
      </c>
      <c r="J89" s="21" t="s">
        <v>441</v>
      </c>
      <c r="K89" s="21">
        <v>5</v>
      </c>
      <c r="L89" s="23" t="s">
        <v>29</v>
      </c>
      <c r="M89" s="21">
        <v>1</v>
      </c>
      <c r="N89" s="22" t="s">
        <v>316</v>
      </c>
      <c r="O89" s="21">
        <v>1950</v>
      </c>
      <c r="P89" s="23" t="s">
        <v>29</v>
      </c>
      <c r="Q89" s="22"/>
    </row>
    <row r="90" spans="1:17" ht="30" x14ac:dyDescent="0.25">
      <c r="A90" s="22" cm="1">
        <f t="array" ref="A90">ROW()-ROW(main_table[#Headers])</f>
        <v>89</v>
      </c>
      <c r="B90" s="22">
        <v>89</v>
      </c>
      <c r="C90" s="23" t="s">
        <v>264</v>
      </c>
      <c r="D90" s="23" t="s">
        <v>262</v>
      </c>
      <c r="E90" s="23" t="s">
        <v>263</v>
      </c>
      <c r="F90" s="22" t="s">
        <v>93</v>
      </c>
      <c r="G90" s="23" t="s">
        <v>35</v>
      </c>
      <c r="H90" s="23" t="s">
        <v>18</v>
      </c>
      <c r="I90" s="21">
        <v>256</v>
      </c>
      <c r="J90" s="21" t="s">
        <v>441</v>
      </c>
      <c r="K90" s="21">
        <v>5</v>
      </c>
      <c r="L90" s="23" t="s">
        <v>29</v>
      </c>
      <c r="M90" s="21">
        <v>2</v>
      </c>
      <c r="N90" s="22" t="s">
        <v>316</v>
      </c>
      <c r="O90" s="21">
        <v>1951</v>
      </c>
      <c r="P90" s="23" t="s">
        <v>29</v>
      </c>
      <c r="Q90" s="22"/>
    </row>
    <row r="91" spans="1:17" ht="30" x14ac:dyDescent="0.25">
      <c r="A91" s="22" cm="1">
        <f t="array" ref="A91">ROW()-ROW(main_table[#Headers])</f>
        <v>90</v>
      </c>
      <c r="B91" s="22">
        <v>90</v>
      </c>
      <c r="C91" s="23" t="s">
        <v>265</v>
      </c>
      <c r="D91" s="23" t="s">
        <v>267</v>
      </c>
      <c r="E91" s="23" t="s">
        <v>266</v>
      </c>
      <c r="F91" s="22" t="s">
        <v>145</v>
      </c>
      <c r="G91" s="23" t="s">
        <v>38</v>
      </c>
      <c r="H91" s="21" t="s">
        <v>18</v>
      </c>
      <c r="I91" s="21">
        <v>512</v>
      </c>
      <c r="J91" s="21" t="s">
        <v>441</v>
      </c>
      <c r="K91" s="21">
        <v>5</v>
      </c>
      <c r="L91" s="23" t="s">
        <v>14</v>
      </c>
      <c r="M91" s="21"/>
      <c r="N91" s="22"/>
      <c r="O91" s="21">
        <v>2025</v>
      </c>
      <c r="P91" s="22" t="s">
        <v>14</v>
      </c>
      <c r="Q91" s="22"/>
    </row>
    <row r="92" spans="1:17" ht="30" x14ac:dyDescent="0.25">
      <c r="A92" s="22" cm="1">
        <f t="array" ref="A92">ROW()-ROW(main_table[#Headers])</f>
        <v>91</v>
      </c>
      <c r="B92" s="22">
        <v>91</v>
      </c>
      <c r="C92" s="23" t="s">
        <v>268</v>
      </c>
      <c r="D92" s="23" t="s">
        <v>262</v>
      </c>
      <c r="E92" s="23" t="s">
        <v>263</v>
      </c>
      <c r="F92" s="22" t="s">
        <v>93</v>
      </c>
      <c r="G92" s="23" t="s">
        <v>35</v>
      </c>
      <c r="H92" s="23" t="s">
        <v>18</v>
      </c>
      <c r="I92" s="21">
        <v>208</v>
      </c>
      <c r="J92" s="21" t="s">
        <v>441</v>
      </c>
      <c r="K92" s="21">
        <v>4</v>
      </c>
      <c r="L92" s="23" t="s">
        <v>29</v>
      </c>
      <c r="M92" s="21">
        <v>3</v>
      </c>
      <c r="N92" s="22" t="s">
        <v>316</v>
      </c>
      <c r="O92" s="21">
        <v>1952</v>
      </c>
      <c r="P92" s="23" t="s">
        <v>29</v>
      </c>
      <c r="Q92" s="22"/>
    </row>
    <row r="93" spans="1:17" ht="30" x14ac:dyDescent="0.25">
      <c r="A93" s="22" cm="1">
        <f t="array" ref="A93">ROW()-ROW(main_table[#Headers])</f>
        <v>92</v>
      </c>
      <c r="B93" s="22">
        <v>92</v>
      </c>
      <c r="C93" s="23" t="s">
        <v>269</v>
      </c>
      <c r="D93" s="23" t="s">
        <v>262</v>
      </c>
      <c r="E93" s="23" t="s">
        <v>263</v>
      </c>
      <c r="F93" s="22" t="s">
        <v>93</v>
      </c>
      <c r="G93" s="23" t="s">
        <v>35</v>
      </c>
      <c r="H93" s="23" t="s">
        <v>18</v>
      </c>
      <c r="I93" s="21">
        <v>208</v>
      </c>
      <c r="J93" s="21" t="s">
        <v>441</v>
      </c>
      <c r="K93" s="21">
        <v>4</v>
      </c>
      <c r="L93" s="23" t="s">
        <v>29</v>
      </c>
      <c r="M93" s="21">
        <v>4</v>
      </c>
      <c r="N93" s="22" t="s">
        <v>316</v>
      </c>
      <c r="O93" s="21">
        <v>1953</v>
      </c>
      <c r="P93" s="23" t="s">
        <v>29</v>
      </c>
      <c r="Q93" s="22"/>
    </row>
    <row r="94" spans="1:17" ht="30" x14ac:dyDescent="0.25">
      <c r="A94" s="22" cm="1">
        <f t="array" ref="A94">ROW()-ROW(main_table[#Headers])</f>
        <v>93</v>
      </c>
      <c r="B94" s="22">
        <v>93</v>
      </c>
      <c r="C94" s="23" t="s">
        <v>270</v>
      </c>
      <c r="D94" s="23" t="s">
        <v>262</v>
      </c>
      <c r="E94" s="23" t="s">
        <v>263</v>
      </c>
      <c r="F94" s="22" t="s">
        <v>93</v>
      </c>
      <c r="G94" s="23" t="s">
        <v>35</v>
      </c>
      <c r="H94" s="23" t="s">
        <v>18</v>
      </c>
      <c r="I94" s="21">
        <v>208</v>
      </c>
      <c r="J94" s="21" t="s">
        <v>441</v>
      </c>
      <c r="K94" s="21">
        <v>4</v>
      </c>
      <c r="L94" s="23" t="s">
        <v>29</v>
      </c>
      <c r="M94" s="21">
        <v>5</v>
      </c>
      <c r="N94" s="22" t="s">
        <v>316</v>
      </c>
      <c r="O94" s="21">
        <v>1954</v>
      </c>
      <c r="P94" s="23" t="s">
        <v>29</v>
      </c>
      <c r="Q94" s="22"/>
    </row>
    <row r="95" spans="1:17" ht="30" x14ac:dyDescent="0.25">
      <c r="A95" s="22" cm="1">
        <f t="array" ref="A95">ROW()-ROW(main_table[#Headers])</f>
        <v>94</v>
      </c>
      <c r="B95" s="22">
        <v>94</v>
      </c>
      <c r="C95" s="23" t="s">
        <v>271</v>
      </c>
      <c r="D95" s="23" t="s">
        <v>262</v>
      </c>
      <c r="E95" s="23" t="s">
        <v>263</v>
      </c>
      <c r="F95" s="22" t="s">
        <v>93</v>
      </c>
      <c r="G95" s="23" t="s">
        <v>35</v>
      </c>
      <c r="H95" s="23" t="s">
        <v>18</v>
      </c>
      <c r="I95" s="21">
        <v>160</v>
      </c>
      <c r="J95" s="21" t="s">
        <v>441</v>
      </c>
      <c r="K95" s="21">
        <v>4</v>
      </c>
      <c r="L95" s="23" t="s">
        <v>29</v>
      </c>
      <c r="M95" s="21">
        <v>6</v>
      </c>
      <c r="N95" s="22" t="s">
        <v>316</v>
      </c>
      <c r="O95" s="21">
        <v>1955</v>
      </c>
      <c r="P95" s="23" t="s">
        <v>29</v>
      </c>
      <c r="Q95" s="22"/>
    </row>
    <row r="96" spans="1:17" ht="30" x14ac:dyDescent="0.25">
      <c r="A96" s="22" cm="1">
        <f t="array" ref="A96">ROW()-ROW(main_table[#Headers])</f>
        <v>95</v>
      </c>
      <c r="B96" s="22">
        <v>95</v>
      </c>
      <c r="C96" s="23" t="s">
        <v>272</v>
      </c>
      <c r="D96" s="23" t="s">
        <v>273</v>
      </c>
      <c r="E96" s="23" t="s">
        <v>274</v>
      </c>
      <c r="F96" s="22" t="s">
        <v>145</v>
      </c>
      <c r="G96" s="23" t="s">
        <v>38</v>
      </c>
      <c r="H96" s="23" t="s">
        <v>18</v>
      </c>
      <c r="I96" s="21">
        <v>400</v>
      </c>
      <c r="J96" s="21" t="s">
        <v>441</v>
      </c>
      <c r="K96" s="21">
        <v>5</v>
      </c>
      <c r="L96" s="23" t="s">
        <v>14</v>
      </c>
      <c r="M96" s="21">
        <v>1</v>
      </c>
      <c r="N96" s="22" t="s">
        <v>323</v>
      </c>
      <c r="O96" s="21">
        <v>2005</v>
      </c>
      <c r="P96" s="23" t="s">
        <v>29</v>
      </c>
      <c r="Q96" s="22"/>
    </row>
    <row r="97" spans="1:17" ht="30" x14ac:dyDescent="0.25">
      <c r="A97" s="22" cm="1">
        <f t="array" ref="A97">ROW()-ROW(main_table[#Headers])</f>
        <v>96</v>
      </c>
      <c r="B97" s="22">
        <v>96</v>
      </c>
      <c r="C97" s="23" t="s">
        <v>275</v>
      </c>
      <c r="D97" s="23" t="s">
        <v>262</v>
      </c>
      <c r="E97" s="23" t="s">
        <v>263</v>
      </c>
      <c r="F97" s="22" t="s">
        <v>93</v>
      </c>
      <c r="G97" s="23" t="s">
        <v>35</v>
      </c>
      <c r="H97" s="23" t="s">
        <v>18</v>
      </c>
      <c r="I97" s="21">
        <v>176</v>
      </c>
      <c r="J97" s="21" t="s">
        <v>441</v>
      </c>
      <c r="K97" s="21">
        <v>4</v>
      </c>
      <c r="L97" s="23" t="s">
        <v>29</v>
      </c>
      <c r="M97" s="21">
        <v>7</v>
      </c>
      <c r="N97" s="22" t="s">
        <v>316</v>
      </c>
      <c r="O97" s="21">
        <v>1956</v>
      </c>
      <c r="P97" s="23" t="s">
        <v>29</v>
      </c>
      <c r="Q97" s="22"/>
    </row>
    <row r="98" spans="1:17" ht="30" x14ac:dyDescent="0.25">
      <c r="A98" s="22" cm="1">
        <f t="array" ref="A98">ROW()-ROW(main_table[#Headers])</f>
        <v>97</v>
      </c>
      <c r="B98" s="22">
        <v>97</v>
      </c>
      <c r="C98" s="23" t="s">
        <v>276</v>
      </c>
      <c r="D98" s="23" t="s">
        <v>273</v>
      </c>
      <c r="E98" s="23" t="s">
        <v>274</v>
      </c>
      <c r="F98" s="22" t="s">
        <v>145</v>
      </c>
      <c r="G98" s="23" t="s">
        <v>38</v>
      </c>
      <c r="H98" s="23" t="s">
        <v>18</v>
      </c>
      <c r="I98" s="21">
        <v>304</v>
      </c>
      <c r="J98" s="21" t="s">
        <v>441</v>
      </c>
      <c r="K98" s="21">
        <v>5</v>
      </c>
      <c r="L98" s="23" t="s">
        <v>14</v>
      </c>
      <c r="M98" s="21">
        <v>2</v>
      </c>
      <c r="N98" s="22" t="s">
        <v>323</v>
      </c>
      <c r="O98" s="21">
        <v>2006</v>
      </c>
      <c r="P98" s="23" t="s">
        <v>29</v>
      </c>
      <c r="Q98" s="22"/>
    </row>
    <row r="99" spans="1:17" x14ac:dyDescent="0.25">
      <c r="A99" s="22" cm="1">
        <f t="array" ref="A99">ROW()-ROW(main_table[#Headers])</f>
        <v>98</v>
      </c>
      <c r="B99" s="22">
        <v>98</v>
      </c>
      <c r="C99" s="23" t="s">
        <v>277</v>
      </c>
      <c r="D99" s="23" t="s">
        <v>278</v>
      </c>
      <c r="E99" s="23" t="s">
        <v>279</v>
      </c>
      <c r="F99" s="22" t="s">
        <v>13</v>
      </c>
      <c r="G99" s="23" t="s">
        <v>35</v>
      </c>
      <c r="H99" s="23" t="s">
        <v>18</v>
      </c>
      <c r="I99" s="21">
        <v>320</v>
      </c>
      <c r="J99" s="21" t="s">
        <v>441</v>
      </c>
      <c r="K99" s="21">
        <v>5</v>
      </c>
      <c r="L99" s="23" t="s">
        <v>29</v>
      </c>
      <c r="M99" s="21"/>
      <c r="N99" s="22"/>
      <c r="O99" s="21">
        <v>1950</v>
      </c>
      <c r="P99" s="23" t="s">
        <v>29</v>
      </c>
      <c r="Q99" s="22" t="s">
        <v>17</v>
      </c>
    </row>
    <row r="100" spans="1:17" ht="30" x14ac:dyDescent="0.25">
      <c r="A100" s="22" cm="1">
        <f t="array" ref="A100">ROW()-ROW(main_table[#Headers])</f>
        <v>99</v>
      </c>
      <c r="B100" s="22">
        <v>99</v>
      </c>
      <c r="C100" s="23" t="s">
        <v>280</v>
      </c>
      <c r="D100" s="23" t="s">
        <v>273</v>
      </c>
      <c r="E100" s="23" t="s">
        <v>274</v>
      </c>
      <c r="F100" s="22" t="s">
        <v>145</v>
      </c>
      <c r="G100" s="23" t="s">
        <v>38</v>
      </c>
      <c r="H100" s="23" t="s">
        <v>18</v>
      </c>
      <c r="I100" s="21">
        <v>336</v>
      </c>
      <c r="J100" s="21" t="s">
        <v>441</v>
      </c>
      <c r="K100" s="21">
        <v>4</v>
      </c>
      <c r="L100" s="23" t="s">
        <v>14</v>
      </c>
      <c r="M100" s="21">
        <v>3</v>
      </c>
      <c r="N100" s="22" t="s">
        <v>323</v>
      </c>
      <c r="O100" s="21">
        <v>2007</v>
      </c>
      <c r="P100" s="23" t="s">
        <v>29</v>
      </c>
      <c r="Q100" s="22"/>
    </row>
    <row r="101" spans="1:17" x14ac:dyDescent="0.25">
      <c r="A101" s="22" cm="1">
        <f t="array" ref="A101">ROW()-ROW(main_table[#Headers])</f>
        <v>100</v>
      </c>
      <c r="B101" s="22">
        <v>100</v>
      </c>
      <c r="C101" s="23" t="s">
        <v>281</v>
      </c>
      <c r="D101" s="23" t="s">
        <v>282</v>
      </c>
      <c r="E101" s="23" t="s">
        <v>283</v>
      </c>
      <c r="F101" s="22" t="s">
        <v>26</v>
      </c>
      <c r="G101" s="23" t="s">
        <v>35</v>
      </c>
      <c r="H101" s="23" t="s">
        <v>18</v>
      </c>
      <c r="I101" s="21">
        <v>320</v>
      </c>
      <c r="J101" s="21" t="s">
        <v>442</v>
      </c>
      <c r="K101" s="21">
        <v>5</v>
      </c>
      <c r="L101" s="23" t="s">
        <v>29</v>
      </c>
      <c r="M101" s="21"/>
      <c r="N101" s="22"/>
      <c r="O101" s="21">
        <v>1986</v>
      </c>
      <c r="P101" s="23" t="s">
        <v>29</v>
      </c>
      <c r="Q101" s="22"/>
    </row>
    <row r="102" spans="1:17" x14ac:dyDescent="0.25">
      <c r="A102" s="22" cm="1">
        <f t="array" ref="A102">ROW()-ROW(main_table[#Headers])</f>
        <v>101</v>
      </c>
      <c r="B102" s="22">
        <v>101</v>
      </c>
      <c r="C102" s="23" t="s">
        <v>284</v>
      </c>
      <c r="D102" s="23" t="s">
        <v>285</v>
      </c>
      <c r="E102" s="23" t="s">
        <v>286</v>
      </c>
      <c r="F102" s="22" t="s">
        <v>13</v>
      </c>
      <c r="G102" s="23" t="s">
        <v>35</v>
      </c>
      <c r="H102" s="23" t="s">
        <v>18</v>
      </c>
      <c r="I102" s="21">
        <v>160</v>
      </c>
      <c r="J102" s="21" t="s">
        <v>442</v>
      </c>
      <c r="K102" s="21">
        <v>5</v>
      </c>
      <c r="L102" s="23" t="s">
        <v>29</v>
      </c>
      <c r="M102" s="21"/>
      <c r="N102" s="22"/>
      <c r="O102" s="21">
        <v>1928</v>
      </c>
      <c r="P102" s="23" t="s">
        <v>29</v>
      </c>
      <c r="Q102" s="22"/>
    </row>
    <row r="103" spans="1:17" ht="45" x14ac:dyDescent="0.25">
      <c r="A103" s="22" cm="1">
        <f t="array" ref="A103">ROW()-ROW(main_table[#Headers])</f>
        <v>102</v>
      </c>
      <c r="B103" s="22">
        <v>102</v>
      </c>
      <c r="C103" s="23" t="s">
        <v>287</v>
      </c>
      <c r="D103" s="23" t="s">
        <v>33</v>
      </c>
      <c r="E103" s="23" t="s">
        <v>34</v>
      </c>
      <c r="F103" s="22" t="s">
        <v>40</v>
      </c>
      <c r="G103" s="23" t="s">
        <v>35</v>
      </c>
      <c r="H103" s="23" t="s">
        <v>18</v>
      </c>
      <c r="I103" s="21">
        <v>352</v>
      </c>
      <c r="J103" s="21" t="s">
        <v>442</v>
      </c>
      <c r="K103" s="21">
        <v>5</v>
      </c>
      <c r="L103" s="23" t="s">
        <v>29</v>
      </c>
      <c r="M103" s="21">
        <v>5</v>
      </c>
      <c r="N103" s="22" t="s">
        <v>313</v>
      </c>
      <c r="O103" s="21">
        <v>2025</v>
      </c>
      <c r="P103" s="23" t="s">
        <v>29</v>
      </c>
      <c r="Q103" s="22"/>
    </row>
    <row r="104" spans="1:17" ht="30" x14ac:dyDescent="0.25">
      <c r="A104" s="22" cm="1">
        <f t="array" ref="A104">ROW()-ROW(main_table[#Headers])</f>
        <v>103</v>
      </c>
      <c r="B104" s="22">
        <v>103</v>
      </c>
      <c r="C104" s="23" t="s">
        <v>325</v>
      </c>
      <c r="D104" s="23" t="s">
        <v>289</v>
      </c>
      <c r="E104" s="23" t="s">
        <v>290</v>
      </c>
      <c r="F104" s="22" t="s">
        <v>202</v>
      </c>
      <c r="G104" s="23" t="s">
        <v>19</v>
      </c>
      <c r="H104" s="23" t="s">
        <v>18</v>
      </c>
      <c r="I104" s="21">
        <v>376</v>
      </c>
      <c r="J104" s="21" t="s">
        <v>442</v>
      </c>
      <c r="K104" s="21">
        <v>5</v>
      </c>
      <c r="L104" s="23" t="s">
        <v>14</v>
      </c>
      <c r="M104" s="21">
        <v>1</v>
      </c>
      <c r="N104" s="22" t="s">
        <v>288</v>
      </c>
      <c r="O104" s="21">
        <v>2024</v>
      </c>
      <c r="P104" s="23" t="s">
        <v>29</v>
      </c>
      <c r="Q104" s="22"/>
    </row>
    <row r="105" spans="1:17" ht="30" x14ac:dyDescent="0.25">
      <c r="A105" s="22" cm="1">
        <f t="array" ref="A105">ROW()-ROW(main_table[#Headers])</f>
        <v>104</v>
      </c>
      <c r="B105" s="22">
        <v>104</v>
      </c>
      <c r="C105" s="23" t="s">
        <v>291</v>
      </c>
      <c r="D105" s="23" t="s">
        <v>292</v>
      </c>
      <c r="E105" s="23" t="s">
        <v>293</v>
      </c>
      <c r="F105" s="22" t="s">
        <v>294</v>
      </c>
      <c r="G105" s="23" t="s">
        <v>38</v>
      </c>
      <c r="H105" s="23" t="s">
        <v>18</v>
      </c>
      <c r="I105" s="21">
        <v>408</v>
      </c>
      <c r="J105" s="21" t="s">
        <v>442</v>
      </c>
      <c r="K105" s="21">
        <v>5</v>
      </c>
      <c r="L105" s="23" t="s">
        <v>14</v>
      </c>
      <c r="M105" s="21"/>
      <c r="N105" s="22"/>
      <c r="O105" s="21">
        <v>2025</v>
      </c>
      <c r="P105" s="23" t="s">
        <v>14</v>
      </c>
      <c r="Q105" s="22" t="s">
        <v>17</v>
      </c>
    </row>
    <row r="106" spans="1:17" x14ac:dyDescent="0.25">
      <c r="A106" s="22" cm="1">
        <f t="array" ref="A106">ROW()-ROW(main_table[#Headers])</f>
        <v>105</v>
      </c>
      <c r="B106" s="22">
        <v>105</v>
      </c>
      <c r="C106" s="23" t="s">
        <v>295</v>
      </c>
      <c r="D106" s="23" t="s">
        <v>296</v>
      </c>
      <c r="E106" s="23" t="s">
        <v>297</v>
      </c>
      <c r="F106" s="22" t="s">
        <v>298</v>
      </c>
      <c r="G106" s="23" t="s">
        <v>35</v>
      </c>
      <c r="H106" s="23" t="s">
        <v>18</v>
      </c>
      <c r="I106" s="21">
        <v>360</v>
      </c>
      <c r="J106" s="21" t="s">
        <v>442</v>
      </c>
      <c r="K106" s="21">
        <v>5</v>
      </c>
      <c r="L106" s="23" t="s">
        <v>29</v>
      </c>
      <c r="M106" s="21"/>
      <c r="N106" s="22"/>
      <c r="O106" s="21">
        <v>1962</v>
      </c>
      <c r="P106" s="23" t="s">
        <v>29</v>
      </c>
      <c r="Q106" s="22"/>
    </row>
    <row r="107" spans="1:17" ht="30" x14ac:dyDescent="0.25">
      <c r="A107" s="22" cm="1">
        <f t="array" ref="A107">ROW()-ROW(main_table[#Headers])</f>
        <v>106</v>
      </c>
      <c r="B107" s="22">
        <v>106</v>
      </c>
      <c r="C107" s="23" t="s">
        <v>299</v>
      </c>
      <c r="D107" s="23" t="s">
        <v>193</v>
      </c>
      <c r="E107" s="23" t="s">
        <v>303</v>
      </c>
      <c r="F107" s="22" t="s">
        <v>248</v>
      </c>
      <c r="G107" s="23" t="s">
        <v>38</v>
      </c>
      <c r="H107" s="23" t="s">
        <v>18</v>
      </c>
      <c r="I107" s="21">
        <v>288</v>
      </c>
      <c r="J107" s="21" t="s">
        <v>442</v>
      </c>
      <c r="K107" s="21">
        <v>5</v>
      </c>
      <c r="L107" s="23" t="s">
        <v>14</v>
      </c>
      <c r="M107" s="21">
        <v>1</v>
      </c>
      <c r="N107" s="22" t="s">
        <v>299</v>
      </c>
      <c r="O107" s="21">
        <v>2018</v>
      </c>
      <c r="P107" s="23" t="s">
        <v>14</v>
      </c>
      <c r="Q107" s="22"/>
    </row>
    <row r="108" spans="1:17" ht="90" x14ac:dyDescent="0.25">
      <c r="A108" s="22" cm="1">
        <f t="array" ref="A108">ROW()-ROW(main_table[#Headers])</f>
        <v>107</v>
      </c>
      <c r="B108" s="22">
        <v>107</v>
      </c>
      <c r="C108" s="23" t="s">
        <v>300</v>
      </c>
      <c r="D108" s="23" t="s">
        <v>296</v>
      </c>
      <c r="E108" s="23" t="s">
        <v>297</v>
      </c>
      <c r="F108" s="22" t="s">
        <v>307</v>
      </c>
      <c r="G108" s="23" t="s">
        <v>35</v>
      </c>
      <c r="H108" s="23" t="s">
        <v>18</v>
      </c>
      <c r="I108" s="21">
        <v>368</v>
      </c>
      <c r="J108" s="21" t="s">
        <v>442</v>
      </c>
      <c r="K108" s="21">
        <v>4</v>
      </c>
      <c r="L108" s="23" t="s">
        <v>29</v>
      </c>
      <c r="M108" s="21"/>
      <c r="N108" s="22"/>
      <c r="O108" s="21">
        <v>1977</v>
      </c>
      <c r="P108" s="23" t="s">
        <v>29</v>
      </c>
      <c r="Q108" s="22"/>
    </row>
    <row r="109" spans="1:17" ht="30" x14ac:dyDescent="0.25">
      <c r="A109" s="22" cm="1">
        <f t="array" ref="A109">ROW()-ROW(main_table[#Headers])</f>
        <v>108</v>
      </c>
      <c r="B109" s="22">
        <v>108</v>
      </c>
      <c r="C109" s="23" t="s">
        <v>301</v>
      </c>
      <c r="D109" s="23" t="s">
        <v>304</v>
      </c>
      <c r="E109" s="23" t="s">
        <v>305</v>
      </c>
      <c r="F109" s="22" t="s">
        <v>308</v>
      </c>
      <c r="G109" s="23" t="s">
        <v>38</v>
      </c>
      <c r="H109" s="23" t="s">
        <v>18</v>
      </c>
      <c r="I109" s="21">
        <v>456</v>
      </c>
      <c r="J109" s="21" t="s">
        <v>442</v>
      </c>
      <c r="K109" s="21">
        <v>5</v>
      </c>
      <c r="L109" s="23" t="s">
        <v>14</v>
      </c>
      <c r="M109" s="21"/>
      <c r="N109" s="22"/>
      <c r="O109" s="21">
        <v>2022</v>
      </c>
      <c r="P109" s="23" t="s">
        <v>14</v>
      </c>
      <c r="Q109" s="22"/>
    </row>
    <row r="110" spans="1:17" ht="30" x14ac:dyDescent="0.25">
      <c r="A110" s="22" cm="1">
        <f t="array" ref="A110">ROW()-ROW(main_table[#Headers])</f>
        <v>109</v>
      </c>
      <c r="B110" s="22">
        <v>109</v>
      </c>
      <c r="C110" s="23" t="s">
        <v>302</v>
      </c>
      <c r="D110" s="23" t="s">
        <v>130</v>
      </c>
      <c r="E110" s="23" t="s">
        <v>131</v>
      </c>
      <c r="F110" s="22" t="s">
        <v>309</v>
      </c>
      <c r="G110" s="23" t="s">
        <v>35</v>
      </c>
      <c r="H110" s="23" t="s">
        <v>18</v>
      </c>
      <c r="I110" s="21">
        <v>90</v>
      </c>
      <c r="J110" s="21" t="s">
        <v>442</v>
      </c>
      <c r="K110" s="21">
        <v>5</v>
      </c>
      <c r="L110" s="23" t="s">
        <v>29</v>
      </c>
      <c r="M110" s="21"/>
      <c r="N110" s="22"/>
      <c r="O110" s="21">
        <v>1937</v>
      </c>
      <c r="P110" s="23" t="s">
        <v>29</v>
      </c>
      <c r="Q110" s="22"/>
    </row>
    <row r="111" spans="1:17" ht="45" x14ac:dyDescent="0.25">
      <c r="A111" s="22" cm="1">
        <f t="array" ref="A111">ROW()-ROW(main_table[#Headers])</f>
        <v>110</v>
      </c>
      <c r="B111" s="22">
        <v>110</v>
      </c>
      <c r="C111" s="23" t="s">
        <v>443</v>
      </c>
      <c r="D111" s="23" t="s">
        <v>102</v>
      </c>
      <c r="E111" s="23" t="s">
        <v>306</v>
      </c>
      <c r="F111" s="22" t="s">
        <v>310</v>
      </c>
      <c r="G111" s="23" t="s">
        <v>19</v>
      </c>
      <c r="H111" s="23" t="s">
        <v>18</v>
      </c>
      <c r="I111" s="21">
        <v>384</v>
      </c>
      <c r="J111" s="21" t="s">
        <v>442</v>
      </c>
      <c r="K111" s="21">
        <v>5</v>
      </c>
      <c r="L111" s="23" t="s">
        <v>14</v>
      </c>
      <c r="M111" s="21"/>
      <c r="N111" s="22"/>
      <c r="O111" s="21">
        <v>2023</v>
      </c>
      <c r="P111" s="23" t="s">
        <v>29</v>
      </c>
      <c r="Q111" s="22"/>
    </row>
    <row r="112" spans="1:17" x14ac:dyDescent="0.25">
      <c r="A112" s="24"/>
      <c r="B112" s="24"/>
      <c r="C112" s="25"/>
      <c r="D112" s="25"/>
      <c r="E112" s="25"/>
      <c r="F112" s="24"/>
      <c r="G112" s="25"/>
      <c r="H112" s="26"/>
      <c r="I112" s="26">
        <f>SUBTOTAL(109,main_table[pages])</f>
        <v>41781</v>
      </c>
      <c r="J112" s="26"/>
      <c r="K112" s="26"/>
      <c r="L112" s="25"/>
      <c r="M112" s="27"/>
      <c r="N112" s="24"/>
      <c r="O112" s="26"/>
      <c r="P112" s="25"/>
      <c r="Q112" s="24"/>
    </row>
  </sheetData>
  <phoneticPr fontId="1" type="noConversion"/>
  <dataValidations count="7">
    <dataValidation type="list" allowBlank="1" showInputMessage="1" showErrorMessage="1" sqref="G1:G111 F113:F1048576" xr:uid="{C454B6CB-543E-49D2-AA96-382285266658}">
      <formula1>"Print,Ebook,Audio"</formula1>
    </dataValidation>
    <dataValidation type="list" allowBlank="1" showInputMessage="1" showErrorMessage="1" sqref="P1:P111 L1:L111 O113:O1048576 L113:L1048576" xr:uid="{29CFA52E-08DD-4C6F-B344-A2BCF92C789C}">
      <formula1>"yes,no"</formula1>
    </dataValidation>
    <dataValidation type="list" allowBlank="1" showInputMessage="1" showErrorMessage="1" sqref="M1:M111 M113:M1048576" xr:uid="{F2D60102-A7ED-4461-8D07-BB7C671ECA9F}">
      <formula1>"1,2,3,4,5,6,7,8,9,10"</formula1>
    </dataValidation>
    <dataValidation type="list" allowBlank="1" showInputMessage="1" showErrorMessage="1" sqref="K1:K111 K113:K1048576" xr:uid="{0C9F1407-B49D-44FC-A349-6FFB89C45C2D}">
      <formula1>"5,4,3,2,1"</formula1>
    </dataValidation>
    <dataValidation type="list" allowBlank="1" showInputMessage="1" showErrorMessage="1" sqref="J113:J1048576" xr:uid="{C0563CD0-33AE-4021-861D-DF254CD2EF2D}">
      <formula1>"2025,2024,2023"</formula1>
    </dataValidation>
    <dataValidation type="list" allowBlank="1" showInputMessage="1" showErrorMessage="1" sqref="J2:J111" xr:uid="{76D1053E-5B67-47FC-B22B-06A9649950E0}">
      <formula1>"January, February, March, April, May, June, July, August, September, October, November, December"</formula1>
    </dataValidation>
    <dataValidation type="list" allowBlank="1" showInputMessage="1" showErrorMessage="1" sqref="H1:H111 G113:H1048576" xr:uid="{A2F78883-5E3C-43B5-83D0-FE5ECD6D5EAB}">
      <formula1>"Ukrainian,English,Russian"</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21D0B-7DD4-42A0-96FD-7A746EED5EB2}">
  <dimension ref="A1:D89"/>
  <sheetViews>
    <sheetView zoomScale="115" zoomScaleNormal="115" workbookViewId="0">
      <selection activeCell="H64" sqref="H64"/>
    </sheetView>
  </sheetViews>
  <sheetFormatPr defaultRowHeight="15" x14ac:dyDescent="0.25"/>
  <cols>
    <col min="1" max="1" width="10.5703125" style="13" bestFit="1" customWidth="1"/>
    <col min="2" max="2" width="13.5703125" style="10" bestFit="1" customWidth="1"/>
    <col min="3" max="3" width="31.140625" bestFit="1" customWidth="1"/>
    <col min="4" max="4" width="99.5703125" style="10" bestFit="1" customWidth="1"/>
  </cols>
  <sheetData>
    <row r="1" spans="1:4" x14ac:dyDescent="0.25">
      <c r="A1" s="11" t="s">
        <v>342</v>
      </c>
      <c r="B1" s="10" t="s">
        <v>346</v>
      </c>
      <c r="C1" s="8" t="s">
        <v>100</v>
      </c>
      <c r="D1" s="10" t="s">
        <v>347</v>
      </c>
    </row>
    <row r="2" spans="1:4" ht="45" x14ac:dyDescent="0.25">
      <c r="A2" s="12">
        <f>IF(quotes_table[[#This Row],[ read_order]] = "","",INDEX(main_table[book_id],quotes_table[[#This Row],[ read_order]]))</f>
        <v>1</v>
      </c>
      <c r="B2" s="11">
        <v>1</v>
      </c>
      <c r="C2" s="9" t="str">
        <f>IF(quotes_table[[#This Row],[ read_order]] = "","",INDEX(main_table[book_title],quotes_table[[#This Row],[ read_order]]))</f>
        <v>Читець</v>
      </c>
      <c r="D2" s="11" t="s">
        <v>343</v>
      </c>
    </row>
    <row r="3" spans="1:4" x14ac:dyDescent="0.25">
      <c r="A3" s="12">
        <f>IF(quotes_table[[#This Row],[ read_order]] = "","",INDEX(main_table[book_id],quotes_table[[#This Row],[ read_order]]))</f>
        <v>2</v>
      </c>
      <c r="B3" s="11">
        <v>2</v>
      </c>
      <c r="C3" s="9" t="str">
        <f>IF(quotes_table[[#This Row],[ read_order]] = "","",INDEX(main_table[book_title],quotes_table[[#This Row],[ read_order]]))</f>
        <v>Емоційний інтелект у дитини</v>
      </c>
      <c r="D3" s="11" t="s">
        <v>344</v>
      </c>
    </row>
    <row r="4" spans="1:4" ht="30" x14ac:dyDescent="0.25">
      <c r="A4" s="12">
        <f>IF(quotes_table[[#This Row],[ read_order]] = "","",INDEX(main_table[book_id],quotes_table[[#This Row],[ read_order]]))</f>
        <v>2</v>
      </c>
      <c r="B4" s="11">
        <v>2</v>
      </c>
      <c r="C4" s="9" t="str">
        <f>IF(quotes_table[[#This Row],[ read_order]] = "","",INDEX(main_table[book_title],quotes_table[[#This Row],[ read_order]]))</f>
        <v>Емоційний інтелект у дитини</v>
      </c>
      <c r="D4" s="11" t="s">
        <v>345</v>
      </c>
    </row>
    <row r="5" spans="1:4" x14ac:dyDescent="0.25">
      <c r="A5" s="12">
        <f>IF(quotes_table[[#This Row],[ read_order]] = "","",INDEX(main_table[book_id],quotes_table[[#This Row],[ read_order]]))</f>
        <v>3</v>
      </c>
      <c r="B5" s="11" t="s">
        <v>349</v>
      </c>
      <c r="C5" s="9" t="str">
        <f>IF(quotes_table[[#This Row],[ read_order]] = "","",INDEX(main_table[book_title],quotes_table[[#This Row],[ read_order]]))</f>
        <v>Ми, живі</v>
      </c>
      <c r="D5" s="11" t="s">
        <v>348</v>
      </c>
    </row>
    <row r="6" spans="1:4" x14ac:dyDescent="0.25">
      <c r="A6" s="12">
        <f>IF(quotes_table[[#This Row],[ read_order]] = "","",INDEX(main_table[book_id],quotes_table[[#This Row],[ read_order]]))</f>
        <v>3</v>
      </c>
      <c r="B6" s="11" t="s">
        <v>349</v>
      </c>
      <c r="C6" s="9" t="str">
        <f>IF(quotes_table[[#This Row],[ read_order]] = "","",INDEX(main_table[book_title],quotes_table[[#This Row],[ read_order]]))</f>
        <v>Ми, живі</v>
      </c>
      <c r="D6" s="11" t="s">
        <v>350</v>
      </c>
    </row>
    <row r="7" spans="1:4" x14ac:dyDescent="0.25">
      <c r="A7" s="12">
        <f>IF(quotes_table[[#This Row],[ read_order]] = "","",INDEX(main_table[book_id],quotes_table[[#This Row],[ read_order]]))</f>
        <v>3</v>
      </c>
      <c r="B7" s="11" t="s">
        <v>349</v>
      </c>
      <c r="C7" s="9" t="str">
        <f>IF(quotes_table[[#This Row],[ read_order]] = "","",INDEX(main_table[book_title],quotes_table[[#This Row],[ read_order]]))</f>
        <v>Ми, живі</v>
      </c>
      <c r="D7" s="11" t="s">
        <v>352</v>
      </c>
    </row>
    <row r="8" spans="1:4" ht="35.1" customHeight="1" x14ac:dyDescent="0.25">
      <c r="A8" s="12">
        <f>IF(quotes_table[[#This Row],[ read_order]] = "","",INDEX(main_table[book_id],quotes_table[[#This Row],[ read_order]]))</f>
        <v>4</v>
      </c>
      <c r="B8" s="11" t="s">
        <v>351</v>
      </c>
      <c r="C8" s="9" t="str">
        <f>IF(quotes_table[[#This Row],[ read_order]] = "","",INDEX(main_table[book_title],quotes_table[[#This Row],[ read_order]]))</f>
        <v>The secret garden</v>
      </c>
      <c r="D8" s="11" t="s">
        <v>353</v>
      </c>
    </row>
    <row r="9" spans="1:4" x14ac:dyDescent="0.25">
      <c r="A9" s="12">
        <f>IF(quotes_table[[#This Row],[ read_order]] = "","",INDEX(main_table[book_id],quotes_table[[#This Row],[ read_order]]))</f>
        <v>4</v>
      </c>
      <c r="B9" s="11" t="s">
        <v>351</v>
      </c>
      <c r="C9" s="9" t="str">
        <f>IF(quotes_table[[#This Row],[ read_order]] = "","",INDEX(main_table[book_title],quotes_table[[#This Row],[ read_order]]))</f>
        <v>The secret garden</v>
      </c>
      <c r="D9" s="11" t="s">
        <v>354</v>
      </c>
    </row>
    <row r="10" spans="1:4" ht="45" x14ac:dyDescent="0.25">
      <c r="A10" s="12">
        <f>IF(quotes_table[[#This Row],[ read_order]] = "","",INDEX(main_table[book_id],quotes_table[[#This Row],[ read_order]]))</f>
        <v>5</v>
      </c>
      <c r="B10" s="11" t="s">
        <v>356</v>
      </c>
      <c r="C10" s="9" t="str">
        <f>IF(quotes_table[[#This Row],[ read_order]] = "","",INDEX(main_table[book_title],quotes_table[[#This Row],[ read_order]]))</f>
        <v>Необхідне зло</v>
      </c>
      <c r="D10" s="11" t="s">
        <v>355</v>
      </c>
    </row>
    <row r="11" spans="1:4" x14ac:dyDescent="0.25">
      <c r="A11" s="12">
        <f>IF(quotes_table[[#This Row],[ read_order]] = "","",INDEX(main_table[book_id],quotes_table[[#This Row],[ read_order]]))</f>
        <v>6</v>
      </c>
      <c r="B11" s="11" t="s">
        <v>358</v>
      </c>
      <c r="C11" s="9" t="str">
        <f>IF(quotes_table[[#This Row],[ read_order]] = "","",INDEX(main_table[book_title],quotes_table[[#This Row],[ read_order]]))</f>
        <v>Незриме життя Адді Лярю</v>
      </c>
      <c r="D11" s="11" t="s">
        <v>357</v>
      </c>
    </row>
    <row r="12" spans="1:4" x14ac:dyDescent="0.25">
      <c r="A12" s="12">
        <f>IF(quotes_table[[#This Row],[ read_order]] = "","",INDEX(main_table[book_id],quotes_table[[#This Row],[ read_order]]))</f>
        <v>6</v>
      </c>
      <c r="B12" s="11" t="s">
        <v>358</v>
      </c>
      <c r="C12" s="9" t="str">
        <f>IF(quotes_table[[#This Row],[ read_order]] = "","",INDEX(main_table[book_title],quotes_table[[#This Row],[ read_order]]))</f>
        <v>Незриме життя Адді Лярю</v>
      </c>
      <c r="D12" s="11" t="s">
        <v>359</v>
      </c>
    </row>
    <row r="13" spans="1:4" x14ac:dyDescent="0.25">
      <c r="A13" s="12">
        <f>IF(quotes_table[[#This Row],[ read_order]] = "","",INDEX(main_table[book_id],quotes_table[[#This Row],[ read_order]]))</f>
        <v>6</v>
      </c>
      <c r="B13" s="11" t="s">
        <v>358</v>
      </c>
      <c r="C13" s="9" t="str">
        <f>IF(quotes_table[[#This Row],[ read_order]] = "","",INDEX(main_table[book_title],quotes_table[[#This Row],[ read_order]]))</f>
        <v>Незриме життя Адді Лярю</v>
      </c>
      <c r="D13" s="11" t="s">
        <v>360</v>
      </c>
    </row>
    <row r="14" spans="1:4" x14ac:dyDescent="0.25">
      <c r="A14" s="12">
        <f>IF(quotes_table[[#This Row],[ read_order]] = "","",INDEX(main_table[book_id],quotes_table[[#This Row],[ read_order]]))</f>
        <v>6</v>
      </c>
      <c r="B14" s="11" t="s">
        <v>358</v>
      </c>
      <c r="C14" s="9" t="str">
        <f>IF(quotes_table[[#This Row],[ read_order]] = "","",INDEX(main_table[book_title],quotes_table[[#This Row],[ read_order]]))</f>
        <v>Незриме життя Адді Лярю</v>
      </c>
      <c r="D14" s="11" t="s">
        <v>361</v>
      </c>
    </row>
    <row r="15" spans="1:4" x14ac:dyDescent="0.25">
      <c r="A15" s="12">
        <f>IF(quotes_table[[#This Row],[ read_order]] = "","",INDEX(main_table[book_id],quotes_table[[#This Row],[ read_order]]))</f>
        <v>8</v>
      </c>
      <c r="B15" s="11" t="s">
        <v>363</v>
      </c>
      <c r="C15" s="9" t="str">
        <f>IF(quotes_table[[#This Row],[ read_order]] = "","",INDEX(main_table[book_title],quotes_table[[#This Row],[ read_order]]))</f>
        <v>Дім голосів</v>
      </c>
      <c r="D15" s="11" t="s">
        <v>362</v>
      </c>
    </row>
    <row r="16" spans="1:4" x14ac:dyDescent="0.25">
      <c r="A16" s="12">
        <f>IF(quotes_table[[#This Row],[ read_order]] = "","",INDEX(main_table[book_id],quotes_table[[#This Row],[ read_order]]))</f>
        <v>8</v>
      </c>
      <c r="B16" s="11" t="s">
        <v>363</v>
      </c>
      <c r="C16" s="9" t="str">
        <f>IF(quotes_table[[#This Row],[ read_order]] = "","",INDEX(main_table[book_title],quotes_table[[#This Row],[ read_order]]))</f>
        <v>Дім голосів</v>
      </c>
      <c r="D16" s="11" t="s">
        <v>364</v>
      </c>
    </row>
    <row r="17" spans="1:4" x14ac:dyDescent="0.25">
      <c r="A17" s="12">
        <f>IF(quotes_table[[#This Row],[ read_order]] = "","",INDEX(main_table[book_id],quotes_table[[#This Row],[ read_order]]))</f>
        <v>8</v>
      </c>
      <c r="B17" s="11" t="s">
        <v>363</v>
      </c>
      <c r="C17" s="9" t="str">
        <f>IF(quotes_table[[#This Row],[ read_order]] = "","",INDEX(main_table[book_title],quotes_table[[#This Row],[ read_order]]))</f>
        <v>Дім голосів</v>
      </c>
      <c r="D17" s="11" t="s">
        <v>365</v>
      </c>
    </row>
    <row r="18" spans="1:4" ht="45" x14ac:dyDescent="0.25">
      <c r="A18" s="12">
        <f>IF(quotes_table[[#This Row],[ read_order]] = "","",INDEX(main_table[book_id],quotes_table[[#This Row],[ read_order]]))</f>
        <v>8</v>
      </c>
      <c r="B18" s="11" t="s">
        <v>363</v>
      </c>
      <c r="C18" s="9" t="str">
        <f>IF(quotes_table[[#This Row],[ read_order]] = "","",INDEX(main_table[book_title],quotes_table[[#This Row],[ read_order]]))</f>
        <v>Дім голосів</v>
      </c>
      <c r="D18" s="11" t="s">
        <v>366</v>
      </c>
    </row>
    <row r="19" spans="1:4" ht="30" x14ac:dyDescent="0.25">
      <c r="A19" s="12">
        <f>IF(quotes_table[[#This Row],[ read_order]] = "","",INDEX(main_table[book_id],quotes_table[[#This Row],[ read_order]]))</f>
        <v>9</v>
      </c>
      <c r="B19" s="11" t="s">
        <v>369</v>
      </c>
      <c r="C19" s="9" t="str">
        <f>IF(quotes_table[[#This Row],[ read_order]] = "","",INDEX(main_table[book_title],quotes_table[[#This Row],[ read_order]]))</f>
        <v>Машина часу</v>
      </c>
      <c r="D19" s="11" t="s">
        <v>367</v>
      </c>
    </row>
    <row r="20" spans="1:4" x14ac:dyDescent="0.25">
      <c r="A20" s="12">
        <f>IF(quotes_table[[#This Row],[ read_order]] = "","",INDEX(main_table[book_id],quotes_table[[#This Row],[ read_order]]))</f>
        <v>9</v>
      </c>
      <c r="B20" s="11" t="s">
        <v>369</v>
      </c>
      <c r="C20" s="9" t="str">
        <f>IF(quotes_table[[#This Row],[ read_order]] = "","",INDEX(main_table[book_title],quotes_table[[#This Row],[ read_order]]))</f>
        <v>Машина часу</v>
      </c>
      <c r="D20" s="11" t="s">
        <v>368</v>
      </c>
    </row>
    <row r="21" spans="1:4" ht="30" x14ac:dyDescent="0.25">
      <c r="A21" s="12">
        <f>IF(quotes_table[[#This Row],[ read_order]] = "","",INDEX(main_table[book_id],quotes_table[[#This Row],[ read_order]]))</f>
        <v>10</v>
      </c>
      <c r="B21" s="11" t="s">
        <v>373</v>
      </c>
      <c r="C21" s="9" t="str">
        <f>IF(quotes_table[[#This Row],[ read_order]] = "","",INDEX(main_table[book_title],quotes_table[[#This Row],[ read_order]]))</f>
        <v>Холлі</v>
      </c>
      <c r="D21" s="11" t="s">
        <v>370</v>
      </c>
    </row>
    <row r="22" spans="1:4" x14ac:dyDescent="0.25">
      <c r="A22" s="12">
        <f>IF(quotes_table[[#This Row],[ read_order]] = "","",INDEX(main_table[book_id],quotes_table[[#This Row],[ read_order]]))</f>
        <v>10</v>
      </c>
      <c r="B22" s="11" t="s">
        <v>373</v>
      </c>
      <c r="C22" s="9" t="str">
        <f>IF(quotes_table[[#This Row],[ read_order]] = "","",INDEX(main_table[book_title],quotes_table[[#This Row],[ read_order]]))</f>
        <v>Холлі</v>
      </c>
      <c r="D22" s="11" t="s">
        <v>371</v>
      </c>
    </row>
    <row r="23" spans="1:4" x14ac:dyDescent="0.25">
      <c r="A23" s="12">
        <f>IF(quotes_table[[#This Row],[ read_order]] = "","",INDEX(main_table[book_id],quotes_table[[#This Row],[ read_order]]))</f>
        <v>10</v>
      </c>
      <c r="B23" s="11" t="s">
        <v>373</v>
      </c>
      <c r="C23" s="9" t="str">
        <f>IF(quotes_table[[#This Row],[ read_order]] = "","",INDEX(main_table[book_title],quotes_table[[#This Row],[ read_order]]))</f>
        <v>Холлі</v>
      </c>
      <c r="D23" s="11" t="s">
        <v>372</v>
      </c>
    </row>
    <row r="24" spans="1:4" ht="30" x14ac:dyDescent="0.25">
      <c r="A24" s="12">
        <f>IF(quotes_table[[#This Row],[ read_order]] = "","",INDEX(main_table[book_id],quotes_table[[#This Row],[ read_order]]))</f>
        <v>11</v>
      </c>
      <c r="B24" s="11" t="s">
        <v>375</v>
      </c>
      <c r="C24" s="9" t="str">
        <f>IF(quotes_table[[#This Row],[ read_order]] = "","",INDEX(main_table[book_title],quotes_table[[#This Row],[ read_order]]))</f>
        <v>Червоні лубутени</v>
      </c>
      <c r="D24" s="11" t="s">
        <v>374</v>
      </c>
    </row>
    <row r="25" spans="1:4" ht="30" x14ac:dyDescent="0.25">
      <c r="A25" s="12">
        <f>IF(quotes_table[[#This Row],[ read_order]] = "","",INDEX(main_table[book_id],quotes_table[[#This Row],[ read_order]]))</f>
        <v>11</v>
      </c>
      <c r="B25" s="11" t="s">
        <v>375</v>
      </c>
      <c r="C25" s="9" t="str">
        <f>IF(quotes_table[[#This Row],[ read_order]] = "","",INDEX(main_table[book_title],quotes_table[[#This Row],[ read_order]]))</f>
        <v>Червоні лубутени</v>
      </c>
      <c r="D25" s="11" t="s">
        <v>376</v>
      </c>
    </row>
    <row r="26" spans="1:4" ht="30" x14ac:dyDescent="0.25">
      <c r="A26" s="12">
        <f>IF(quotes_table[[#This Row],[ read_order]] = "","",INDEX(main_table[book_id],quotes_table[[#This Row],[ read_order]]))</f>
        <v>14</v>
      </c>
      <c r="B26" s="11" t="s">
        <v>379</v>
      </c>
      <c r="C26" s="9" t="str">
        <f>IF(quotes_table[[#This Row],[ read_order]] = "","",INDEX(main_table[book_title],quotes_table[[#This Row],[ read_order]]))</f>
        <v>Смерть на Сході</v>
      </c>
      <c r="D26" s="11" t="s">
        <v>380</v>
      </c>
    </row>
    <row r="27" spans="1:4" ht="30" x14ac:dyDescent="0.25">
      <c r="A27" s="12">
        <f>IF(quotes_table[[#This Row],[ read_order]] = "","",INDEX(main_table[book_id],quotes_table[[#This Row],[ read_order]]))</f>
        <v>14</v>
      </c>
      <c r="B27" s="11" t="s">
        <v>379</v>
      </c>
      <c r="C27" s="9" t="str">
        <f>IF(quotes_table[[#This Row],[ read_order]] = "","",INDEX(main_table[book_title],quotes_table[[#This Row],[ read_order]]))</f>
        <v>Смерть на Сході</v>
      </c>
      <c r="D27" s="11" t="s">
        <v>381</v>
      </c>
    </row>
    <row r="28" spans="1:4" ht="45" x14ac:dyDescent="0.25">
      <c r="A28" s="12">
        <f>IF(quotes_table[[#This Row],[ read_order]] = "","",INDEX(main_table[book_id],quotes_table[[#This Row],[ read_order]]))</f>
        <v>15</v>
      </c>
      <c r="B28" s="11" t="s">
        <v>378</v>
      </c>
      <c r="C28" s="9" t="str">
        <f>IF(quotes_table[[#This Row],[ read_order]] = "","",INDEX(main_table[book_title],quotes_table[[#This Row],[ read_order]]))</f>
        <v>Крамничка на розі</v>
      </c>
      <c r="D28" s="11" t="s">
        <v>377</v>
      </c>
    </row>
    <row r="29" spans="1:4" x14ac:dyDescent="0.25">
      <c r="A29" s="12">
        <f>IF(quotes_table[[#This Row],[ read_order]] = "","",INDEX(main_table[book_id],quotes_table[[#This Row],[ read_order]]))</f>
        <v>16</v>
      </c>
      <c r="B29" s="11" t="s">
        <v>382</v>
      </c>
      <c r="C29" s="9" t="str">
        <f>IF(quotes_table[[#This Row],[ read_order]] = "","",INDEX(main_table[book_title],quotes_table[[#This Row],[ read_order]]))</f>
        <v>Бальзам для душі</v>
      </c>
      <c r="D29" s="11" t="s">
        <v>383</v>
      </c>
    </row>
    <row r="30" spans="1:4" x14ac:dyDescent="0.25">
      <c r="A30" s="12">
        <f>IF(quotes_table[[#This Row],[ read_order]] = "","",INDEX(main_table[book_id],quotes_table[[#This Row],[ read_order]]))</f>
        <v>16</v>
      </c>
      <c r="B30" s="11" t="s">
        <v>382</v>
      </c>
      <c r="C30" s="9" t="str">
        <f>IF(quotes_table[[#This Row],[ read_order]] = "","",INDEX(main_table[book_title],quotes_table[[#This Row],[ read_order]]))</f>
        <v>Бальзам для душі</v>
      </c>
      <c r="D30" s="11" t="s">
        <v>384</v>
      </c>
    </row>
    <row r="31" spans="1:4" x14ac:dyDescent="0.25">
      <c r="A31" s="12">
        <f>IF(quotes_table[[#This Row],[ read_order]] = "","",INDEX(main_table[book_id],quotes_table[[#This Row],[ read_order]]))</f>
        <v>16</v>
      </c>
      <c r="B31" s="11" t="s">
        <v>382</v>
      </c>
      <c r="C31" s="9" t="str">
        <f>IF(quotes_table[[#This Row],[ read_order]] = "","",INDEX(main_table[book_title],quotes_table[[#This Row],[ read_order]]))</f>
        <v>Бальзам для душі</v>
      </c>
      <c r="D31" s="11" t="s">
        <v>385</v>
      </c>
    </row>
    <row r="32" spans="1:4" ht="30" x14ac:dyDescent="0.25">
      <c r="A32" s="12">
        <f>IF(quotes_table[[#This Row],[ read_order]] = "","",INDEX(main_table[book_id],quotes_table[[#This Row],[ read_order]]))</f>
        <v>16</v>
      </c>
      <c r="B32" s="11" t="s">
        <v>382</v>
      </c>
      <c r="C32" s="9" t="str">
        <f>IF(quotes_table[[#This Row],[ read_order]] = "","",INDEX(main_table[book_title],quotes_table[[#This Row],[ read_order]]))</f>
        <v>Бальзам для душі</v>
      </c>
      <c r="D32" s="11" t="s">
        <v>386</v>
      </c>
    </row>
    <row r="33" spans="1:4" x14ac:dyDescent="0.25">
      <c r="A33" s="12">
        <f>IF(quotes_table[[#This Row],[ read_order]] = "","",INDEX(main_table[book_id],quotes_table[[#This Row],[ read_order]]))</f>
        <v>17</v>
      </c>
      <c r="B33" s="11" t="s">
        <v>387</v>
      </c>
      <c r="C33" s="9" t="str">
        <f>IF(quotes_table[[#This Row],[ read_order]] = "","",INDEX(main_table[book_title],quotes_table[[#This Row],[ read_order]]))</f>
        <v>Червоний дракон</v>
      </c>
      <c r="D33" s="11" t="s">
        <v>388</v>
      </c>
    </row>
    <row r="34" spans="1:4" x14ac:dyDescent="0.25">
      <c r="A34" s="12">
        <f>IF(quotes_table[[#This Row],[ read_order]] = "","",INDEX(main_table[book_id],quotes_table[[#This Row],[ read_order]]))</f>
        <v>17</v>
      </c>
      <c r="B34" s="11" t="s">
        <v>387</v>
      </c>
      <c r="C34" s="9" t="str">
        <f>IF(quotes_table[[#This Row],[ read_order]] = "","",INDEX(main_table[book_title],quotes_table[[#This Row],[ read_order]]))</f>
        <v>Червоний дракон</v>
      </c>
      <c r="D34" s="11" t="s">
        <v>389</v>
      </c>
    </row>
    <row r="35" spans="1:4" x14ac:dyDescent="0.25">
      <c r="A35" s="12">
        <f>IF(quotes_table[[#This Row],[ read_order]] = "","",INDEX(main_table[book_id],quotes_table[[#This Row],[ read_order]]))</f>
        <v>17</v>
      </c>
      <c r="B35" s="11" t="s">
        <v>387</v>
      </c>
      <c r="C35" s="9" t="str">
        <f>IF(quotes_table[[#This Row],[ read_order]] = "","",INDEX(main_table[book_title],quotes_table[[#This Row],[ read_order]]))</f>
        <v>Червоний дракон</v>
      </c>
      <c r="D35" s="11" t="s">
        <v>390</v>
      </c>
    </row>
    <row r="36" spans="1:4" x14ac:dyDescent="0.25">
      <c r="A36" s="12">
        <f>IF(quotes_table[[#This Row],[ read_order]] = "","",INDEX(main_table[book_id],quotes_table[[#This Row],[ read_order]]))</f>
        <v>17</v>
      </c>
      <c r="B36" s="11" t="s">
        <v>387</v>
      </c>
      <c r="C36" s="9" t="str">
        <f>IF(quotes_table[[#This Row],[ read_order]] = "","",INDEX(main_table[book_title],quotes_table[[#This Row],[ read_order]]))</f>
        <v>Червоний дракон</v>
      </c>
      <c r="D36" s="11" t="s">
        <v>391</v>
      </c>
    </row>
    <row r="37" spans="1:4" ht="15" customHeight="1" x14ac:dyDescent="0.25">
      <c r="A37" s="12">
        <f>IF(quotes_table[[#This Row],[ read_order]] = "","",INDEX(main_table[book_id],quotes_table[[#This Row],[ read_order]]))</f>
        <v>18</v>
      </c>
      <c r="B37" s="11" t="s">
        <v>393</v>
      </c>
      <c r="C37" s="9" t="str">
        <f>IF(quotes_table[[#This Row],[ read_order]] = "","",INDEX(main_table[book_title],quotes_table[[#This Row],[ read_order]]))</f>
        <v>Мовчання ягнят</v>
      </c>
      <c r="D37" s="11" t="s">
        <v>392</v>
      </c>
    </row>
    <row r="38" spans="1:4" ht="45" x14ac:dyDescent="0.25">
      <c r="A38" s="12">
        <f>IF(quotes_table[[#This Row],[ read_order]] = "","",INDEX(main_table[book_id],quotes_table[[#This Row],[ read_order]]))</f>
        <v>18</v>
      </c>
      <c r="B38" s="11" t="s">
        <v>393</v>
      </c>
      <c r="C38" s="9" t="str">
        <f>IF(quotes_table[[#This Row],[ read_order]] = "","",INDEX(main_table[book_title],quotes_table[[#This Row],[ read_order]]))</f>
        <v>Мовчання ягнят</v>
      </c>
      <c r="D38" s="11" t="s">
        <v>394</v>
      </c>
    </row>
    <row r="39" spans="1:4" x14ac:dyDescent="0.25">
      <c r="A39" s="12">
        <f>IF(quotes_table[[#This Row],[ read_order]] = "","",INDEX(main_table[book_id],quotes_table[[#This Row],[ read_order]]))</f>
        <v>19</v>
      </c>
      <c r="B39" s="11" t="s">
        <v>396</v>
      </c>
      <c r="C39" s="9" t="str">
        <f>IF(quotes_table[[#This Row],[ read_order]] = "","",INDEX(main_table[book_title],quotes_table[[#This Row],[ read_order]]))</f>
        <v>Часосховище</v>
      </c>
      <c r="D39" s="11" t="s">
        <v>395</v>
      </c>
    </row>
    <row r="40" spans="1:4" ht="35.1" customHeight="1" x14ac:dyDescent="0.25">
      <c r="A40" s="12">
        <f>IF(quotes_table[[#This Row],[ read_order]] = "","",INDEX(main_table[book_id],quotes_table[[#This Row],[ read_order]]))</f>
        <v>19</v>
      </c>
      <c r="B40" s="11" t="s">
        <v>396</v>
      </c>
      <c r="C40" s="9" t="str">
        <f>IF(quotes_table[[#This Row],[ read_order]] = "","",INDEX(main_table[book_title],quotes_table[[#This Row],[ read_order]]))</f>
        <v>Часосховище</v>
      </c>
      <c r="D40" s="11" t="s">
        <v>400</v>
      </c>
    </row>
    <row r="41" spans="1:4" ht="30" x14ac:dyDescent="0.25">
      <c r="A41" s="12">
        <f>IF(quotes_table[[#This Row],[ read_order]] = "","",INDEX(main_table[book_id],quotes_table[[#This Row],[ read_order]]))</f>
        <v>19</v>
      </c>
      <c r="B41" s="11" t="s">
        <v>396</v>
      </c>
      <c r="C41" s="9" t="str">
        <f>IF(quotes_table[[#This Row],[ read_order]] = "","",INDEX(main_table[book_title],quotes_table[[#This Row],[ read_order]]))</f>
        <v>Часосховище</v>
      </c>
      <c r="D41" s="11" t="s">
        <v>397</v>
      </c>
    </row>
    <row r="42" spans="1:4" x14ac:dyDescent="0.25">
      <c r="A42" s="12">
        <f>IF(quotes_table[[#This Row],[ read_order]] = "","",INDEX(main_table[book_id],quotes_table[[#This Row],[ read_order]]))</f>
        <v>19</v>
      </c>
      <c r="B42" s="11" t="s">
        <v>396</v>
      </c>
      <c r="C42" s="9" t="str">
        <f>IF(quotes_table[[#This Row],[ read_order]] = "","",INDEX(main_table[book_title],quotes_table[[#This Row],[ read_order]]))</f>
        <v>Часосховище</v>
      </c>
      <c r="D42" s="11" t="s">
        <v>398</v>
      </c>
    </row>
    <row r="43" spans="1:4" ht="30" x14ac:dyDescent="0.25">
      <c r="A43" s="12">
        <f>IF(quotes_table[[#This Row],[ read_order]] = "","",INDEX(main_table[book_id],quotes_table[[#This Row],[ read_order]]))</f>
        <v>19</v>
      </c>
      <c r="B43" s="11" t="s">
        <v>396</v>
      </c>
      <c r="C43" s="9" t="str">
        <f>IF(quotes_table[[#This Row],[ read_order]] = "","",INDEX(main_table[book_title],quotes_table[[#This Row],[ read_order]]))</f>
        <v>Часосховище</v>
      </c>
      <c r="D43" s="11" t="s">
        <v>399</v>
      </c>
    </row>
    <row r="44" spans="1:4" x14ac:dyDescent="0.25">
      <c r="A44" s="12">
        <f>IF(quotes_table[[#This Row],[ read_order]] = "","",INDEX(main_table[book_id],quotes_table[[#This Row],[ read_order]]))</f>
        <v>20</v>
      </c>
      <c r="B44" s="11" t="s">
        <v>402</v>
      </c>
      <c r="C44" s="9" t="str">
        <f>IF(quotes_table[[#This Row],[ read_order]] = "","",INDEX(main_table[book_title],quotes_table[[#This Row],[ read_order]]))</f>
        <v>Ганнібал</v>
      </c>
      <c r="D44" s="11" t="s">
        <v>401</v>
      </c>
    </row>
    <row r="45" spans="1:4" x14ac:dyDescent="0.25">
      <c r="A45" s="12">
        <f>IF(quotes_table[[#This Row],[ read_order]] = "","",INDEX(main_table[book_id],quotes_table[[#This Row],[ read_order]]))</f>
        <v>20</v>
      </c>
      <c r="B45" s="11" t="s">
        <v>402</v>
      </c>
      <c r="C45" s="9" t="str">
        <f>IF(quotes_table[[#This Row],[ read_order]] = "","",INDEX(main_table[book_title],quotes_table[[#This Row],[ read_order]]))</f>
        <v>Ганнібал</v>
      </c>
      <c r="D45" s="11" t="s">
        <v>403</v>
      </c>
    </row>
    <row r="46" spans="1:4" ht="30" x14ac:dyDescent="0.25">
      <c r="A46" s="12">
        <f>IF(quotes_table[[#This Row],[ read_order]] = "","",INDEX(main_table[book_id],quotes_table[[#This Row],[ read_order]]))</f>
        <v>20</v>
      </c>
      <c r="B46" s="11" t="s">
        <v>402</v>
      </c>
      <c r="C46" s="9" t="str">
        <f>IF(quotes_table[[#This Row],[ read_order]] = "","",INDEX(main_table[book_title],quotes_table[[#This Row],[ read_order]]))</f>
        <v>Ганнібал</v>
      </c>
      <c r="D46" s="11" t="s">
        <v>404</v>
      </c>
    </row>
    <row r="47" spans="1:4" x14ac:dyDescent="0.25">
      <c r="A47" s="12">
        <f>IF(quotes_table[[#This Row],[ read_order]] = "","",INDEX(main_table[book_id],quotes_table[[#This Row],[ read_order]]))</f>
        <v>21</v>
      </c>
      <c r="B47" s="11" t="s">
        <v>405</v>
      </c>
      <c r="C47" s="9" t="str">
        <f>IF(quotes_table[[#This Row],[ read_order]] = "","",INDEX(main_table[book_title],quotes_table[[#This Row],[ read_order]]))</f>
        <v>Сходження Ганнібала</v>
      </c>
      <c r="D47" s="11" t="s">
        <v>406</v>
      </c>
    </row>
    <row r="48" spans="1:4" ht="30" x14ac:dyDescent="0.25">
      <c r="A48" s="12">
        <f>IF(quotes_table[[#This Row],[ read_order]] = "","",INDEX(main_table[book_id],quotes_table[[#This Row],[ read_order]]))</f>
        <v>21</v>
      </c>
      <c r="B48" s="11" t="s">
        <v>405</v>
      </c>
      <c r="C48" s="9" t="str">
        <f>IF(quotes_table[[#This Row],[ read_order]] = "","",INDEX(main_table[book_title],quotes_table[[#This Row],[ read_order]]))</f>
        <v>Сходження Ганнібала</v>
      </c>
      <c r="D48" s="11" t="s">
        <v>407</v>
      </c>
    </row>
    <row r="49" spans="1:4" x14ac:dyDescent="0.25">
      <c r="A49" s="12">
        <f>IF(quotes_table[[#This Row],[ read_order]] = "","",INDEX(main_table[book_id],quotes_table[[#This Row],[ read_order]]))</f>
        <v>24</v>
      </c>
      <c r="B49" s="11" t="s">
        <v>408</v>
      </c>
      <c r="C49" s="9" t="str">
        <f>IF(quotes_table[[#This Row],[ read_order]] = "","",INDEX(main_table[book_title],quotes_table[[#This Row],[ read_order]]))</f>
        <v>Дев'ять життів Крістофера Чанта</v>
      </c>
      <c r="D49" s="11" t="s">
        <v>409</v>
      </c>
    </row>
    <row r="50" spans="1:4" x14ac:dyDescent="0.25">
      <c r="A50" s="12">
        <f>IF(quotes_table[[#This Row],[ read_order]] = "","",INDEX(main_table[book_id],quotes_table[[#This Row],[ read_order]]))</f>
        <v>24</v>
      </c>
      <c r="B50" s="11" t="s">
        <v>408</v>
      </c>
      <c r="C50" s="9" t="str">
        <f>IF(quotes_table[[#This Row],[ read_order]] = "","",INDEX(main_table[book_title],quotes_table[[#This Row],[ read_order]]))</f>
        <v>Дев'ять життів Крістофера Чанта</v>
      </c>
      <c r="D50" s="11" t="s">
        <v>410</v>
      </c>
    </row>
    <row r="51" spans="1:4" ht="30" x14ac:dyDescent="0.25">
      <c r="A51" s="12">
        <f>IF(quotes_table[[#This Row],[ read_order]] = "","",INDEX(main_table[book_id],quotes_table[[#This Row],[ read_order]]))</f>
        <v>24</v>
      </c>
      <c r="B51" s="11" t="s">
        <v>408</v>
      </c>
      <c r="C51" s="9" t="str">
        <f>IF(quotes_table[[#This Row],[ read_order]] = "","",INDEX(main_table[book_title],quotes_table[[#This Row],[ read_order]]))</f>
        <v>Дев'ять життів Крістофера Чанта</v>
      </c>
      <c r="D51" s="11" t="s">
        <v>411</v>
      </c>
    </row>
    <row r="52" spans="1:4" ht="35.1" customHeight="1" x14ac:dyDescent="0.25">
      <c r="A52" s="12">
        <f>IF(quotes_table[[#This Row],[ read_order]] = "","",INDEX(main_table[book_id],quotes_table[[#This Row],[ read_order]]))</f>
        <v>24</v>
      </c>
      <c r="B52" s="11" t="s">
        <v>408</v>
      </c>
      <c r="C52" s="9" t="str">
        <f>IF(quotes_table[[#This Row],[ read_order]] = "","",INDEX(main_table[book_title],quotes_table[[#This Row],[ read_order]]))</f>
        <v>Дев'ять життів Крістофера Чанта</v>
      </c>
      <c r="D52" s="11" t="s">
        <v>429</v>
      </c>
    </row>
    <row r="53" spans="1:4" x14ac:dyDescent="0.25">
      <c r="A53" s="12">
        <f>IF(quotes_table[[#This Row],[ read_order]] = "","",INDEX(main_table[book_id],quotes_table[[#This Row],[ read_order]]))</f>
        <v>26</v>
      </c>
      <c r="B53" s="11" t="s">
        <v>413</v>
      </c>
      <c r="C53" s="9" t="str">
        <f>IF(quotes_table[[#This Row],[ read_order]] = "","",INDEX(main_table[book_title],quotes_table[[#This Row],[ read_order]]))</f>
        <v>Поглиначі мертвих</v>
      </c>
      <c r="D53" s="11" t="s">
        <v>412</v>
      </c>
    </row>
    <row r="54" spans="1:4" x14ac:dyDescent="0.25">
      <c r="A54" s="12">
        <f>IF(quotes_table[[#This Row],[ read_order]] = "","",INDEX(main_table[book_id],quotes_table[[#This Row],[ read_order]]))</f>
        <v>26</v>
      </c>
      <c r="B54" s="11" t="s">
        <v>413</v>
      </c>
      <c r="C54" s="9" t="str">
        <f>IF(quotes_table[[#This Row],[ read_order]] = "","",INDEX(main_table[book_title],quotes_table[[#This Row],[ read_order]]))</f>
        <v>Поглиначі мертвих</v>
      </c>
      <c r="D54" s="11" t="s">
        <v>414</v>
      </c>
    </row>
    <row r="55" spans="1:4" x14ac:dyDescent="0.25">
      <c r="A55" s="12">
        <f>IF(quotes_table[[#This Row],[ read_order]] = "","",INDEX(main_table[book_id],quotes_table[[#This Row],[ read_order]]))</f>
        <v>26</v>
      </c>
      <c r="B55" s="11" t="s">
        <v>413</v>
      </c>
      <c r="C55" s="9" t="str">
        <f>IF(quotes_table[[#This Row],[ read_order]] = "","",INDEX(main_table[book_title],quotes_table[[#This Row],[ read_order]]))</f>
        <v>Поглиначі мертвих</v>
      </c>
      <c r="D55" s="11" t="s">
        <v>415</v>
      </c>
    </row>
    <row r="56" spans="1:4" ht="30" x14ac:dyDescent="0.25">
      <c r="A56" s="12">
        <f>IF(quotes_table[[#This Row],[ read_order]] = "","",INDEX(main_table[book_id],quotes_table[[#This Row],[ read_order]]))</f>
        <v>26</v>
      </c>
      <c r="B56" s="11" t="s">
        <v>413</v>
      </c>
      <c r="C56" s="9" t="str">
        <f>IF(quotes_table[[#This Row],[ read_order]] = "","",INDEX(main_table[book_title],quotes_table[[#This Row],[ read_order]]))</f>
        <v>Поглиначі мертвих</v>
      </c>
      <c r="D56" s="11" t="s">
        <v>416</v>
      </c>
    </row>
    <row r="57" spans="1:4" ht="30" x14ac:dyDescent="0.25">
      <c r="A57" s="12">
        <f>IF(quotes_table[[#This Row],[ read_order]] = "","",INDEX(main_table[book_id],quotes_table[[#This Row],[ read_order]]))</f>
        <v>30</v>
      </c>
      <c r="B57" s="11" t="s">
        <v>417</v>
      </c>
      <c r="C57" s="9" t="str">
        <f>IF(quotes_table[[#This Row],[ read_order]] = "","",INDEX(main_table[book_title],quotes_table[[#This Row],[ read_order]]))</f>
        <v>Невгамовні мерці</v>
      </c>
      <c r="D57" s="11" t="s">
        <v>418</v>
      </c>
    </row>
    <row r="58" spans="1:4" ht="30" x14ac:dyDescent="0.25">
      <c r="A58" s="12">
        <f>IF(quotes_table[[#This Row],[ read_order]] = "","",INDEX(main_table[book_id],quotes_table[[#This Row],[ read_order]]))</f>
        <v>30</v>
      </c>
      <c r="B58" s="11" t="s">
        <v>417</v>
      </c>
      <c r="C58" s="9" t="str">
        <f>IF(quotes_table[[#This Row],[ read_order]] = "","",INDEX(main_table[book_title],quotes_table[[#This Row],[ read_order]]))</f>
        <v>Невгамовні мерці</v>
      </c>
      <c r="D58" s="11" t="s">
        <v>419</v>
      </c>
    </row>
    <row r="59" spans="1:4" x14ac:dyDescent="0.25">
      <c r="A59" s="12">
        <f>IF(quotes_table[[#This Row],[ read_order]] = "","",INDEX(main_table[book_id],quotes_table[[#This Row],[ read_order]]))</f>
        <v>30</v>
      </c>
      <c r="B59" s="11" t="s">
        <v>417</v>
      </c>
      <c r="C59" s="9" t="str">
        <f>IF(quotes_table[[#This Row],[ read_order]] = "","",INDEX(main_table[book_title],quotes_table[[#This Row],[ read_order]]))</f>
        <v>Невгамовні мерці</v>
      </c>
      <c r="D59" s="11" t="s">
        <v>420</v>
      </c>
    </row>
    <row r="60" spans="1:4" x14ac:dyDescent="0.25">
      <c r="A60" s="12">
        <f>IF(quotes_table[[#This Row],[ read_order]] = "","",INDEX(main_table[book_id],quotes_table[[#This Row],[ read_order]]))</f>
        <v>33</v>
      </c>
      <c r="B60" s="11" t="s">
        <v>422</v>
      </c>
      <c r="C60" s="9" t="str">
        <f>IF(quotes_table[[#This Row],[ read_order]] = "","",INDEX(main_table[book_title],quotes_table[[#This Row],[ read_order]]))</f>
        <v>Палюче тепло вб'є нас найперше</v>
      </c>
      <c r="D60" s="11" t="s">
        <v>421</v>
      </c>
    </row>
    <row r="61" spans="1:4" ht="30" x14ac:dyDescent="0.25">
      <c r="A61" s="12">
        <f>IF(quotes_table[[#This Row],[ read_order]] = "","",INDEX(main_table[book_id],quotes_table[[#This Row],[ read_order]]))</f>
        <v>33</v>
      </c>
      <c r="B61" s="11" t="s">
        <v>422</v>
      </c>
      <c r="C61" s="9" t="str">
        <f>IF(quotes_table[[#This Row],[ read_order]] = "","",INDEX(main_table[book_title],quotes_table[[#This Row],[ read_order]]))</f>
        <v>Палюче тепло вб'є нас найперше</v>
      </c>
      <c r="D61" s="11" t="s">
        <v>423</v>
      </c>
    </row>
    <row r="62" spans="1:4" ht="30" customHeight="1" x14ac:dyDescent="0.25">
      <c r="A62" s="12">
        <f>IF(quotes_table[[#This Row],[ read_order]] = "","",INDEX(main_table[book_id],quotes_table[[#This Row],[ read_order]]))</f>
        <v>33</v>
      </c>
      <c r="B62" s="11" t="s">
        <v>422</v>
      </c>
      <c r="C62" s="9" t="str">
        <f>IF(quotes_table[[#This Row],[ read_order]] = "","",INDEX(main_table[book_title],quotes_table[[#This Row],[ read_order]]))</f>
        <v>Палюче тепло вб'є нас найперше</v>
      </c>
      <c r="D62" s="11" t="s">
        <v>424</v>
      </c>
    </row>
    <row r="63" spans="1:4" x14ac:dyDescent="0.25">
      <c r="A63" s="12">
        <f>IF(quotes_table[[#This Row],[ read_order]] = "","",INDEX(main_table[book_id],quotes_table[[#This Row],[ read_order]]))</f>
        <v>40</v>
      </c>
      <c r="B63" s="11" t="s">
        <v>425</v>
      </c>
      <c r="C63" s="9" t="str">
        <f>IF(quotes_table[[#This Row],[ read_order]] = "","",INDEX(main_table[book_title],quotes_table[[#This Row],[ read_order]]))</f>
        <v>Доторк темряви</v>
      </c>
      <c r="D63" s="11" t="s">
        <v>426</v>
      </c>
    </row>
    <row r="64" spans="1:4" ht="30" x14ac:dyDescent="0.25">
      <c r="A64" s="12">
        <f>IF(quotes_table[[#This Row],[ read_order]] = "","",INDEX(main_table[book_id],quotes_table[[#This Row],[ read_order]]))</f>
        <v>40</v>
      </c>
      <c r="B64" s="11" t="s">
        <v>425</v>
      </c>
      <c r="C64" s="9" t="str">
        <f>IF(quotes_table[[#This Row],[ read_order]] = "","",INDEX(main_table[book_title],quotes_table[[#This Row],[ read_order]]))</f>
        <v>Доторк темряви</v>
      </c>
      <c r="D64" s="11" t="s">
        <v>427</v>
      </c>
    </row>
    <row r="65" spans="1:4" x14ac:dyDescent="0.25">
      <c r="A65" s="12">
        <f>IF(quotes_table[[#This Row],[ read_order]] = "","",INDEX(main_table[book_id],quotes_table[[#This Row],[ read_order]]))</f>
        <v>40</v>
      </c>
      <c r="B65" s="11" t="s">
        <v>425</v>
      </c>
      <c r="C65" s="9" t="str">
        <f>IF(quotes_table[[#This Row],[ read_order]] = "","",INDEX(main_table[book_title],quotes_table[[#This Row],[ read_order]]))</f>
        <v>Доторк темряви</v>
      </c>
      <c r="D65" s="11" t="s">
        <v>428</v>
      </c>
    </row>
    <row r="66" spans="1:4" x14ac:dyDescent="0.25">
      <c r="A66" s="12">
        <f ca="1">IF(quotes_table[[#This Row],[ read_order]] = "","",INDEX(main_table[book_id],quotes_table[[#This Row],[ read_order]]))</f>
        <v>0</v>
      </c>
      <c r="B66" s="11">
        <f t="shared" ref="B66:B77" ca="1" si="0">ISTEXT(A66)</f>
        <v>0</v>
      </c>
      <c r="C66" s="9">
        <f ca="1">IF(quotes_table[[#This Row],[ read_order]] = "","",INDEX(main_table[book_title],quotes_table[[#This Row],[ read_order]]))</f>
        <v>0</v>
      </c>
      <c r="D66" s="11"/>
    </row>
    <row r="67" spans="1:4" x14ac:dyDescent="0.25">
      <c r="A67" s="12">
        <f ca="1">IF(quotes_table[[#This Row],[ read_order]] = "","",INDEX(main_table[book_id],quotes_table[[#This Row],[ read_order]]))</f>
        <v>0</v>
      </c>
      <c r="B67" s="11">
        <f t="shared" ca="1" si="0"/>
        <v>0</v>
      </c>
      <c r="C67" s="9">
        <f ca="1">IF(quotes_table[[#This Row],[ read_order]] = "","",INDEX(main_table[book_title],quotes_table[[#This Row],[ read_order]]))</f>
        <v>0</v>
      </c>
      <c r="D67" s="11"/>
    </row>
    <row r="68" spans="1:4" x14ac:dyDescent="0.25">
      <c r="A68" s="12">
        <f ca="1">IF(quotes_table[[#This Row],[ read_order]] = "","",INDEX(main_table[book_id],quotes_table[[#This Row],[ read_order]]))</f>
        <v>0</v>
      </c>
      <c r="B68" s="11">
        <f t="shared" ca="1" si="0"/>
        <v>0</v>
      </c>
      <c r="C68" s="9">
        <f ca="1">IF(quotes_table[[#This Row],[ read_order]] = "","",INDEX(main_table[book_title],quotes_table[[#This Row],[ read_order]]))</f>
        <v>0</v>
      </c>
      <c r="D68" s="11"/>
    </row>
    <row r="69" spans="1:4" x14ac:dyDescent="0.25">
      <c r="A69" s="12">
        <f ca="1">IF(quotes_table[[#This Row],[ read_order]] = "","",INDEX(main_table[book_id],quotes_table[[#This Row],[ read_order]]))</f>
        <v>0</v>
      </c>
      <c r="B69" s="11">
        <f t="shared" ca="1" si="0"/>
        <v>0</v>
      </c>
      <c r="C69" s="9">
        <f ca="1">IF(quotes_table[[#This Row],[ read_order]] = "","",INDEX(main_table[book_title],quotes_table[[#This Row],[ read_order]]))</f>
        <v>0</v>
      </c>
      <c r="D69" s="11"/>
    </row>
    <row r="70" spans="1:4" x14ac:dyDescent="0.25">
      <c r="A70" s="12">
        <f ca="1">IF(quotes_table[[#This Row],[ read_order]] = "","",INDEX(main_table[book_id],quotes_table[[#This Row],[ read_order]]))</f>
        <v>0</v>
      </c>
      <c r="B70" s="11">
        <f t="shared" ca="1" si="0"/>
        <v>0</v>
      </c>
      <c r="C70" s="9">
        <f ca="1">IF(quotes_table[[#This Row],[ read_order]] = "","",INDEX(main_table[book_title],quotes_table[[#This Row],[ read_order]]))</f>
        <v>0</v>
      </c>
      <c r="D70" s="11"/>
    </row>
    <row r="71" spans="1:4" x14ac:dyDescent="0.25">
      <c r="A71" s="12">
        <f ca="1">IF(quotes_table[[#This Row],[ read_order]] = "","",INDEX(main_table[book_id],quotes_table[[#This Row],[ read_order]]))</f>
        <v>0</v>
      </c>
      <c r="B71" s="11">
        <f t="shared" ca="1" si="0"/>
        <v>0</v>
      </c>
      <c r="C71" s="9">
        <f ca="1">IF(quotes_table[[#This Row],[ read_order]] = "","",INDEX(main_table[book_title],quotes_table[[#This Row],[ read_order]]))</f>
        <v>0</v>
      </c>
      <c r="D71" s="11"/>
    </row>
    <row r="72" spans="1:4" x14ac:dyDescent="0.25">
      <c r="A72" s="12">
        <f ca="1">IF(quotes_table[[#This Row],[ read_order]] = "","",INDEX(main_table[book_id],quotes_table[[#This Row],[ read_order]]))</f>
        <v>0</v>
      </c>
      <c r="B72" s="11">
        <f t="shared" ca="1" si="0"/>
        <v>0</v>
      </c>
      <c r="C72" s="9">
        <f ca="1">IF(quotes_table[[#This Row],[ read_order]] = "","",INDEX(main_table[book_title],quotes_table[[#This Row],[ read_order]]))</f>
        <v>0</v>
      </c>
      <c r="D72" s="11"/>
    </row>
    <row r="73" spans="1:4" x14ac:dyDescent="0.25">
      <c r="A73" s="12">
        <f ca="1">IF(quotes_table[[#This Row],[ read_order]] = "","",INDEX(main_table[book_id],quotes_table[[#This Row],[ read_order]]))</f>
        <v>0</v>
      </c>
      <c r="B73" s="11">
        <f t="shared" ca="1" si="0"/>
        <v>0</v>
      </c>
      <c r="C73" s="9">
        <f ca="1">IF(quotes_table[[#This Row],[ read_order]] = "","",INDEX(main_table[book_title],quotes_table[[#This Row],[ read_order]]))</f>
        <v>0</v>
      </c>
      <c r="D73" s="11"/>
    </row>
    <row r="74" spans="1:4" x14ac:dyDescent="0.25">
      <c r="A74" s="12">
        <f ca="1">IF(quotes_table[[#This Row],[ read_order]] = "","",INDEX(main_table[book_id],quotes_table[[#This Row],[ read_order]]))</f>
        <v>0</v>
      </c>
      <c r="B74" s="11">
        <f t="shared" ca="1" si="0"/>
        <v>0</v>
      </c>
      <c r="C74" s="9">
        <f ca="1">IF(quotes_table[[#This Row],[ read_order]] = "","",INDEX(main_table[book_title],quotes_table[[#This Row],[ read_order]]))</f>
        <v>0</v>
      </c>
      <c r="D74" s="11"/>
    </row>
    <row r="75" spans="1:4" x14ac:dyDescent="0.25">
      <c r="A75" s="12">
        <f ca="1">IF(quotes_table[[#This Row],[ read_order]] = "","",INDEX(main_table[book_id],quotes_table[[#This Row],[ read_order]]))</f>
        <v>0</v>
      </c>
      <c r="B75" s="11">
        <f t="shared" ca="1" si="0"/>
        <v>0</v>
      </c>
      <c r="C75" s="9">
        <f ca="1">IF(quotes_table[[#This Row],[ read_order]] = "","",INDEX(main_table[book_title],quotes_table[[#This Row],[ read_order]]))</f>
        <v>0</v>
      </c>
      <c r="D75" s="11"/>
    </row>
    <row r="76" spans="1:4" x14ac:dyDescent="0.25">
      <c r="A76" s="12">
        <f ca="1">IF(quotes_table[[#This Row],[ read_order]] = "","",INDEX(main_table[book_id],quotes_table[[#This Row],[ read_order]]))</f>
        <v>0</v>
      </c>
      <c r="B76" s="11">
        <f t="shared" ca="1" si="0"/>
        <v>0</v>
      </c>
      <c r="C76" s="9">
        <f ca="1">IF(quotes_table[[#This Row],[ read_order]] = "","",INDEX(main_table[book_title],quotes_table[[#This Row],[ read_order]]))</f>
        <v>0</v>
      </c>
      <c r="D76" s="11"/>
    </row>
    <row r="77" spans="1:4" x14ac:dyDescent="0.25">
      <c r="A77" s="12">
        <f ca="1">IF(quotes_table[[#This Row],[ read_order]] = "","",INDEX(main_table[book_id],quotes_table[[#This Row],[ read_order]]))</f>
        <v>0</v>
      </c>
      <c r="B77" s="11">
        <f t="shared" ca="1" si="0"/>
        <v>0</v>
      </c>
      <c r="C77" s="9">
        <f ca="1">IF(quotes_table[[#This Row],[ read_order]] = "","",INDEX(main_table[book_title],quotes_table[[#This Row],[ read_order]]))</f>
        <v>0</v>
      </c>
      <c r="D77" s="11"/>
    </row>
    <row r="78" spans="1:4" x14ac:dyDescent="0.25">
      <c r="A78" s="12">
        <f ca="1">IF(quotes_table[[#This Row],[ read_order]] = "","",INDEX(main_table[book_id],quotes_table[[#This Row],[ read_order]]))</f>
        <v>0</v>
      </c>
      <c r="B78" s="11">
        <f t="shared" ref="B78:B89" ca="1" si="1">ISTEXT(A78)</f>
        <v>0</v>
      </c>
      <c r="C78" s="9">
        <f ca="1">IF(quotes_table[[#This Row],[ read_order]] = "","",INDEX(main_table[book_title],quotes_table[[#This Row],[ read_order]]))</f>
        <v>0</v>
      </c>
      <c r="D78" s="11"/>
    </row>
    <row r="79" spans="1:4" x14ac:dyDescent="0.25">
      <c r="A79" s="12">
        <f ca="1">IF(quotes_table[[#This Row],[ read_order]] = "","",INDEX(main_table[book_id],quotes_table[[#This Row],[ read_order]]))</f>
        <v>0</v>
      </c>
      <c r="B79" s="11">
        <f t="shared" ca="1" si="1"/>
        <v>0</v>
      </c>
      <c r="C79" s="9">
        <f ca="1">IF(quotes_table[[#This Row],[ read_order]] = "","",INDEX(main_table[book_title],quotes_table[[#This Row],[ read_order]]))</f>
        <v>0</v>
      </c>
      <c r="D79" s="11"/>
    </row>
    <row r="80" spans="1:4" x14ac:dyDescent="0.25">
      <c r="A80" s="12">
        <f ca="1">IF(quotes_table[[#This Row],[ read_order]] = "","",INDEX(main_table[book_id],quotes_table[[#This Row],[ read_order]]))</f>
        <v>0</v>
      </c>
      <c r="B80" s="11">
        <f t="shared" ca="1" si="1"/>
        <v>0</v>
      </c>
      <c r="C80" s="9">
        <f ca="1">IF(quotes_table[[#This Row],[ read_order]] = "","",INDEX(main_table[book_title],quotes_table[[#This Row],[ read_order]]))</f>
        <v>0</v>
      </c>
      <c r="D80" s="11"/>
    </row>
    <row r="81" spans="1:4" x14ac:dyDescent="0.25">
      <c r="A81" s="12">
        <f ca="1">IF(quotes_table[[#This Row],[ read_order]] = "","",INDEX(main_table[book_id],quotes_table[[#This Row],[ read_order]]))</f>
        <v>0</v>
      </c>
      <c r="B81" s="11">
        <f t="shared" ca="1" si="1"/>
        <v>0</v>
      </c>
      <c r="C81" s="9">
        <f ca="1">IF(quotes_table[[#This Row],[ read_order]] = "","",INDEX(main_table[book_title],quotes_table[[#This Row],[ read_order]]))</f>
        <v>0</v>
      </c>
      <c r="D81" s="11"/>
    </row>
    <row r="82" spans="1:4" x14ac:dyDescent="0.25">
      <c r="A82" s="12">
        <f ca="1">IF(quotes_table[[#This Row],[ read_order]] = "","",INDEX(main_table[book_id],quotes_table[[#This Row],[ read_order]]))</f>
        <v>0</v>
      </c>
      <c r="B82" s="11">
        <f t="shared" ca="1" si="1"/>
        <v>0</v>
      </c>
      <c r="C82" s="9">
        <f ca="1">IF(quotes_table[[#This Row],[ read_order]] = "","",INDEX(main_table[book_title],quotes_table[[#This Row],[ read_order]]))</f>
        <v>0</v>
      </c>
      <c r="D82" s="11"/>
    </row>
    <row r="83" spans="1:4" x14ac:dyDescent="0.25">
      <c r="A83" s="12">
        <f ca="1">IF(quotes_table[[#This Row],[ read_order]] = "","",INDEX(main_table[book_id],quotes_table[[#This Row],[ read_order]]))</f>
        <v>0</v>
      </c>
      <c r="B83" s="11">
        <f t="shared" ca="1" si="1"/>
        <v>0</v>
      </c>
      <c r="C83" s="9">
        <f ca="1">IF(quotes_table[[#This Row],[ read_order]] = "","",INDEX(main_table[book_title],quotes_table[[#This Row],[ read_order]]))</f>
        <v>0</v>
      </c>
      <c r="D83" s="11"/>
    </row>
    <row r="84" spans="1:4" x14ac:dyDescent="0.25">
      <c r="A84" s="12">
        <f ca="1">IF(quotes_table[[#This Row],[ read_order]] = "","",INDEX(main_table[book_id],quotes_table[[#This Row],[ read_order]]))</f>
        <v>0</v>
      </c>
      <c r="B84" s="11">
        <f t="shared" ca="1" si="1"/>
        <v>0</v>
      </c>
      <c r="C84" s="9">
        <f ca="1">IF(quotes_table[[#This Row],[ read_order]] = "","",INDEX(main_table[book_title],quotes_table[[#This Row],[ read_order]]))</f>
        <v>0</v>
      </c>
      <c r="D84" s="11"/>
    </row>
    <row r="85" spans="1:4" x14ac:dyDescent="0.25">
      <c r="A85" s="12">
        <f ca="1">IF(quotes_table[[#This Row],[ read_order]] = "","",INDEX(main_table[book_id],quotes_table[[#This Row],[ read_order]]))</f>
        <v>0</v>
      </c>
      <c r="B85" s="11">
        <f t="shared" ca="1" si="1"/>
        <v>0</v>
      </c>
      <c r="C85" s="9">
        <f ca="1">IF(quotes_table[[#This Row],[ read_order]] = "","",INDEX(main_table[book_title],quotes_table[[#This Row],[ read_order]]))</f>
        <v>0</v>
      </c>
      <c r="D85" s="11"/>
    </row>
    <row r="86" spans="1:4" x14ac:dyDescent="0.25">
      <c r="A86" s="12">
        <f ca="1">IF(quotes_table[[#This Row],[ read_order]] = "","",INDEX(main_table[book_id],quotes_table[[#This Row],[ read_order]]))</f>
        <v>0</v>
      </c>
      <c r="B86" s="11">
        <f t="shared" ca="1" si="1"/>
        <v>0</v>
      </c>
      <c r="C86" s="9">
        <f ca="1">IF(quotes_table[[#This Row],[ read_order]] = "","",INDEX(main_table[book_title],quotes_table[[#This Row],[ read_order]]))</f>
        <v>0</v>
      </c>
      <c r="D86" s="11"/>
    </row>
    <row r="87" spans="1:4" x14ac:dyDescent="0.25">
      <c r="A87" s="12">
        <f ca="1">IF(quotes_table[[#This Row],[ read_order]] = "","",INDEX(main_table[book_id],quotes_table[[#This Row],[ read_order]]))</f>
        <v>0</v>
      </c>
      <c r="B87" s="11">
        <f t="shared" ca="1" si="1"/>
        <v>0</v>
      </c>
      <c r="C87" s="9">
        <f ca="1">IF(quotes_table[[#This Row],[ read_order]] = "","",INDEX(main_table[book_title],quotes_table[[#This Row],[ read_order]]))</f>
        <v>0</v>
      </c>
      <c r="D87" s="11"/>
    </row>
    <row r="88" spans="1:4" x14ac:dyDescent="0.25">
      <c r="A88" s="12">
        <f ca="1">IF(quotes_table[[#This Row],[ read_order]] = "","",INDEX(main_table[book_id],quotes_table[[#This Row],[ read_order]]))</f>
        <v>0</v>
      </c>
      <c r="B88" s="11">
        <f t="shared" ca="1" si="1"/>
        <v>0</v>
      </c>
      <c r="C88" s="9">
        <f ca="1">IF(quotes_table[[#This Row],[ read_order]] = "","",INDEX(main_table[book_title],quotes_table[[#This Row],[ read_order]]))</f>
        <v>0</v>
      </c>
      <c r="D88" s="11"/>
    </row>
    <row r="89" spans="1:4" x14ac:dyDescent="0.25">
      <c r="A89" s="12">
        <f ca="1">IF(quotes_table[[#This Row],[ read_order]] = "","",INDEX(main_table[book_id],quotes_table[[#This Row],[ read_order]]))</f>
        <v>0</v>
      </c>
      <c r="B89" s="11">
        <f t="shared" ca="1" si="1"/>
        <v>0</v>
      </c>
      <c r="C89" s="9">
        <f ca="1">IF(quotes_table[[#This Row],[ read_order]] = "","",INDEX(main_table[book_title],quotes_table[[#This Row],[ read_order]]))</f>
        <v>0</v>
      </c>
      <c r="D89" s="11"/>
    </row>
  </sheetData>
  <dataConsolid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B997E-1C32-4BDC-9945-FDC64F324611}">
  <dimension ref="A1:L16"/>
  <sheetViews>
    <sheetView workbookViewId="0">
      <selection activeCell="L7" sqref="L7"/>
    </sheetView>
  </sheetViews>
  <sheetFormatPr defaultRowHeight="15" x14ac:dyDescent="0.25"/>
  <cols>
    <col min="1" max="1" width="11.28515625" customWidth="1"/>
    <col min="2" max="2" width="14.28515625" customWidth="1"/>
    <col min="3" max="3" width="12.85546875" customWidth="1"/>
    <col min="4" max="4" width="13.140625" customWidth="1"/>
    <col min="7" max="7" width="21.42578125" customWidth="1"/>
    <col min="8" max="8" width="29.42578125" customWidth="1"/>
  </cols>
  <sheetData>
    <row r="1" spans="1:12" x14ac:dyDescent="0.25">
      <c r="A1" t="s">
        <v>430</v>
      </c>
      <c r="B1" t="s">
        <v>445</v>
      </c>
      <c r="C1" t="s">
        <v>449</v>
      </c>
      <c r="D1" t="s">
        <v>450</v>
      </c>
      <c r="H1" t="s">
        <v>456</v>
      </c>
      <c r="I1" t="s">
        <v>446</v>
      </c>
    </row>
    <row r="2" spans="1:12" x14ac:dyDescent="0.25">
      <c r="A2" t="s">
        <v>431</v>
      </c>
      <c r="B2" s="5">
        <f>COUNTIF(book_raw!J:J, books_by_month[[#This Row],[month]])</f>
        <v>5</v>
      </c>
      <c r="C2" s="5">
        <v>25</v>
      </c>
      <c r="D2" s="5">
        <f>SUMIF(main_table[month_read],books_by_month[[#This Row],[month]],main_table[pages])</f>
        <v>1653</v>
      </c>
      <c r="H2" t="s">
        <v>457</v>
      </c>
      <c r="I2" s="15">
        <f t="shared" ref="I2" si="0">MAX(B2:B13)</f>
        <v>17</v>
      </c>
    </row>
    <row r="3" spans="1:12" x14ac:dyDescent="0.25">
      <c r="A3" t="s">
        <v>433</v>
      </c>
      <c r="B3" s="5">
        <f>COUNTIF(book_raw!J:J, books_by_month[[#This Row],[month]])</f>
        <v>7</v>
      </c>
      <c r="C3" s="5">
        <v>26</v>
      </c>
      <c r="D3" s="5">
        <f>SUMIF(main_table[month_read],books_by_month[[#This Row],[month]],main_table[pages])</f>
        <v>2784</v>
      </c>
      <c r="H3" t="s">
        <v>458</v>
      </c>
      <c r="I3" s="15">
        <f>MIN(B2:B13)</f>
        <v>4</v>
      </c>
    </row>
    <row r="4" spans="1:12" x14ac:dyDescent="0.25">
      <c r="A4" t="s">
        <v>432</v>
      </c>
      <c r="B4" s="5">
        <f>COUNTIF(book_raw!J:J, books_by_month[[#This Row],[month]])</f>
        <v>8</v>
      </c>
      <c r="C4" s="5">
        <v>30</v>
      </c>
      <c r="D4" s="5">
        <f>SUMIF(main_table[month_read],books_by_month[[#This Row],[month]],main_table[pages])</f>
        <v>2870</v>
      </c>
      <c r="H4" t="s">
        <v>459</v>
      </c>
      <c r="I4" s="16">
        <f>AVERAGE(B2:B13)</f>
        <v>9.1666666666666661</v>
      </c>
    </row>
    <row r="5" spans="1:12" x14ac:dyDescent="0.25">
      <c r="A5" t="s">
        <v>434</v>
      </c>
      <c r="B5" s="5">
        <f>COUNTIF(book_raw!J:J, books_by_month[[#This Row],[month]])</f>
        <v>8</v>
      </c>
      <c r="C5" s="5">
        <v>26</v>
      </c>
      <c r="D5" s="5">
        <f>SUMIF(main_table[month_read],books_by_month[[#This Row],[month]],main_table[pages])</f>
        <v>3361</v>
      </c>
    </row>
    <row r="6" spans="1:12" x14ac:dyDescent="0.25">
      <c r="A6" t="s">
        <v>435</v>
      </c>
      <c r="B6" s="5">
        <f>COUNTIF(book_raw!J:J, books_by_month[[#This Row],[month]])</f>
        <v>6</v>
      </c>
      <c r="C6" s="5">
        <v>29</v>
      </c>
      <c r="D6" s="5">
        <f>SUMIF(main_table[month_read],books_by_month[[#This Row],[month]],main_table[pages])</f>
        <v>2236</v>
      </c>
      <c r="H6" t="s">
        <v>460</v>
      </c>
      <c r="I6" t="s">
        <v>446</v>
      </c>
    </row>
    <row r="7" spans="1:12" x14ac:dyDescent="0.25">
      <c r="A7" t="s">
        <v>436</v>
      </c>
      <c r="B7" s="5">
        <f>COUNTIF(book_raw!J:J, books_by_month[[#This Row],[month]])</f>
        <v>10</v>
      </c>
      <c r="C7" s="5">
        <v>28</v>
      </c>
      <c r="D7" s="5">
        <f>SUMIF(main_table[month_read],books_by_month[[#This Row],[month]],main_table[pages])</f>
        <v>6593</v>
      </c>
      <c r="H7" t="s">
        <v>461</v>
      </c>
      <c r="I7" s="15">
        <f>MAX(C2:C13)</f>
        <v>30</v>
      </c>
    </row>
    <row r="8" spans="1:12" x14ac:dyDescent="0.25">
      <c r="A8" t="s">
        <v>437</v>
      </c>
      <c r="B8" s="5">
        <f>COUNTIF(book_raw!J:J, books_by_month[[#This Row],[month]])</f>
        <v>9</v>
      </c>
      <c r="C8" s="5">
        <v>23</v>
      </c>
      <c r="D8" s="5">
        <f>SUMIF(main_table[month_read],books_by_month[[#This Row],[month]],main_table[pages])</f>
        <v>3312</v>
      </c>
      <c r="H8" t="s">
        <v>462</v>
      </c>
      <c r="I8" s="15">
        <f>MIN(C2:C13)</f>
        <v>23</v>
      </c>
    </row>
    <row r="9" spans="1:12" x14ac:dyDescent="0.25">
      <c r="A9" t="s">
        <v>438</v>
      </c>
      <c r="B9" s="5">
        <f>COUNTIF(book_raw!J:J, books_by_month[[#This Row],[month]])</f>
        <v>4</v>
      </c>
      <c r="C9" s="5">
        <v>24</v>
      </c>
      <c r="D9" s="5">
        <f>SUMIF(main_table[month_read],books_by_month[[#This Row],[month]],main_table[pages])</f>
        <v>1600</v>
      </c>
      <c r="H9" t="s">
        <v>463</v>
      </c>
      <c r="I9" s="16">
        <f>AVERAGE(C2:C13)</f>
        <v>26.75</v>
      </c>
    </row>
    <row r="10" spans="1:12" x14ac:dyDescent="0.25">
      <c r="A10" t="s">
        <v>439</v>
      </c>
      <c r="B10" s="5">
        <f>COUNTIF(book_raw!J:J, books_by_month[[#This Row],[month]])</f>
        <v>17</v>
      </c>
      <c r="C10" s="5">
        <v>27</v>
      </c>
      <c r="D10" s="5">
        <f>SUMIF(main_table[month_read],books_by_month[[#This Row],[month]],main_table[pages])</f>
        <v>6039</v>
      </c>
    </row>
    <row r="11" spans="1:12" x14ac:dyDescent="0.25">
      <c r="A11" t="s">
        <v>440</v>
      </c>
      <c r="B11" s="5">
        <f>COUNTIF(book_raw!J:J, books_by_month[[#This Row],[month]])</f>
        <v>10</v>
      </c>
      <c r="C11" s="5">
        <v>27</v>
      </c>
      <c r="D11" s="5">
        <f>SUMIF(main_table[month_read],books_by_month[[#This Row],[month]],main_table[pages])</f>
        <v>3347</v>
      </c>
      <c r="H11" t="s">
        <v>452</v>
      </c>
      <c r="I11" t="s">
        <v>446</v>
      </c>
    </row>
    <row r="12" spans="1:12" x14ac:dyDescent="0.25">
      <c r="A12" t="s">
        <v>441</v>
      </c>
      <c r="B12" s="5">
        <f>COUNTIF(book_raw!J:J, books_by_month[[#This Row],[month]])</f>
        <v>15</v>
      </c>
      <c r="C12" s="5">
        <v>30</v>
      </c>
      <c r="D12" s="5">
        <f>SUMIF(main_table[month_read],books_by_month[[#This Row],[month]],main_table[pages])</f>
        <v>4424</v>
      </c>
      <c r="H12" t="s">
        <v>453</v>
      </c>
      <c r="I12" s="15">
        <f>MAX(D2:D13)</f>
        <v>6593</v>
      </c>
    </row>
    <row r="13" spans="1:12" x14ac:dyDescent="0.25">
      <c r="A13" t="s">
        <v>442</v>
      </c>
      <c r="B13" s="5">
        <f>COUNTIF(book_raw!J:J, books_by_month[[#This Row],[month]])</f>
        <v>11</v>
      </c>
      <c r="C13" s="5">
        <v>26</v>
      </c>
      <c r="D13" s="5">
        <f>SUMIF(main_table[month_read],books_by_month[[#This Row],[month]],main_table[pages])</f>
        <v>3562</v>
      </c>
      <c r="H13" t="s">
        <v>454</v>
      </c>
      <c r="I13" s="15">
        <f>MIN(D2:D13)</f>
        <v>1600</v>
      </c>
    </row>
    <row r="14" spans="1:12" x14ac:dyDescent="0.25">
      <c r="A14" s="14" t="s">
        <v>451</v>
      </c>
      <c r="B14" s="15">
        <f>SUBTOTAL(109,B2:B13)</f>
        <v>110</v>
      </c>
      <c r="C14" s="15">
        <f>SUBTOTAL(109,C2:C13)</f>
        <v>321</v>
      </c>
      <c r="D14" s="15">
        <f>SUBTOTAL(109,D2:D13)</f>
        <v>41781</v>
      </c>
      <c r="H14" t="s">
        <v>455</v>
      </c>
      <c r="I14" s="16">
        <f>AVERAGE(D2:D13)</f>
        <v>3481.75</v>
      </c>
      <c r="L14" s="15"/>
    </row>
    <row r="15" spans="1:12" x14ac:dyDescent="0.25">
      <c r="A15" s="5"/>
      <c r="B15" s="5"/>
      <c r="C15" s="5"/>
      <c r="D15" s="5"/>
      <c r="L15" s="15"/>
    </row>
    <row r="16" spans="1:12" x14ac:dyDescent="0.25">
      <c r="L16" s="16"/>
    </row>
  </sheetData>
  <pageMargins left="0.7" right="0.7" top="0.75" bottom="0.75" header="0.3" footer="0.3"/>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89320-381D-49B1-A01C-C035874F93C5}">
  <dimension ref="A1:B8"/>
  <sheetViews>
    <sheetView workbookViewId="0">
      <selection activeCell="H31" sqref="H31"/>
    </sheetView>
  </sheetViews>
  <sheetFormatPr defaultRowHeight="15" x14ac:dyDescent="0.25"/>
  <cols>
    <col min="1" max="1" width="17.5703125" bestFit="1" customWidth="1"/>
    <col min="2" max="2" width="8.5703125" bestFit="1" customWidth="1"/>
  </cols>
  <sheetData>
    <row r="1" spans="1:2" x14ac:dyDescent="0.25">
      <c r="A1" t="s">
        <v>340</v>
      </c>
      <c r="B1" t="s">
        <v>341</v>
      </c>
    </row>
    <row r="2" spans="1:2" x14ac:dyDescent="0.25">
      <c r="A2" t="s">
        <v>330</v>
      </c>
      <c r="B2" s="17">
        <f>COUNTA(book_raw!A1:A111)-1</f>
        <v>110</v>
      </c>
    </row>
    <row r="3" spans="1:2" x14ac:dyDescent="0.25">
      <c r="A3" t="s">
        <v>331</v>
      </c>
      <c r="B3" s="17">
        <f>SUM(book_raw!I1:I111,)</f>
        <v>41781</v>
      </c>
    </row>
    <row r="4" spans="1:2" x14ac:dyDescent="0.25">
      <c r="A4" t="s">
        <v>332</v>
      </c>
      <c r="B4" s="14">
        <f>COUNTIF(book_raw!G1:G111,"Print")</f>
        <v>26</v>
      </c>
    </row>
    <row r="5" spans="1:2" x14ac:dyDescent="0.25">
      <c r="A5" t="s">
        <v>333</v>
      </c>
      <c r="B5" s="14">
        <f>COUNTIF(book_raw!G1:G111,"Ebook")</f>
        <v>32</v>
      </c>
    </row>
    <row r="6" spans="1:2" x14ac:dyDescent="0.25">
      <c r="A6" t="s">
        <v>334</v>
      </c>
      <c r="B6" s="14">
        <f>COUNTIF(book_raw!G1:G111,"Audio")</f>
        <v>52</v>
      </c>
    </row>
    <row r="7" spans="1:2" x14ac:dyDescent="0.25">
      <c r="A7" t="s">
        <v>335</v>
      </c>
      <c r="B7" s="14">
        <f>COUNTIF(book_raw!Q1:Q111,"+")</f>
        <v>30</v>
      </c>
    </row>
    <row r="8" spans="1:2" x14ac:dyDescent="0.25">
      <c r="A8" t="s">
        <v>336</v>
      </c>
      <c r="B8" s="14">
        <f>COUNTIF(book_raw!P1:P111,"yes")</f>
        <v>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18D0C-83F5-486A-8956-8DC121C369E3}">
  <dimension ref="A1:B19"/>
  <sheetViews>
    <sheetView workbookViewId="0">
      <selection activeCell="H28" sqref="H28"/>
    </sheetView>
  </sheetViews>
  <sheetFormatPr defaultRowHeight="15" x14ac:dyDescent="0.25"/>
  <cols>
    <col min="1" max="1" width="35.85546875" bestFit="1" customWidth="1"/>
    <col min="2" max="2" width="16.28515625" bestFit="1" customWidth="1"/>
    <col min="3" max="3" width="17.42578125" bestFit="1" customWidth="1"/>
  </cols>
  <sheetData>
    <row r="1" spans="1:2" x14ac:dyDescent="0.25">
      <c r="A1" s="18" t="s">
        <v>327</v>
      </c>
      <c r="B1" t="s">
        <v>329</v>
      </c>
    </row>
    <row r="2" spans="1:2" x14ac:dyDescent="0.25">
      <c r="A2" s="5" t="s">
        <v>317</v>
      </c>
      <c r="B2">
        <v>5</v>
      </c>
    </row>
    <row r="3" spans="1:2" x14ac:dyDescent="0.25">
      <c r="A3" s="5" t="s">
        <v>299</v>
      </c>
      <c r="B3">
        <v>1</v>
      </c>
    </row>
    <row r="4" spans="1:2" x14ac:dyDescent="0.25">
      <c r="A4" s="5" t="s">
        <v>320</v>
      </c>
      <c r="B4">
        <v>4</v>
      </c>
    </row>
    <row r="5" spans="1:2" x14ac:dyDescent="0.25">
      <c r="A5" s="5" t="s">
        <v>312</v>
      </c>
      <c r="B5">
        <v>4</v>
      </c>
    </row>
    <row r="6" spans="1:2" x14ac:dyDescent="0.25">
      <c r="A6" s="5" t="s">
        <v>318</v>
      </c>
      <c r="B6">
        <v>2</v>
      </c>
    </row>
    <row r="7" spans="1:2" x14ac:dyDescent="0.25">
      <c r="A7" s="5" t="s">
        <v>315</v>
      </c>
      <c r="B7">
        <v>2</v>
      </c>
    </row>
    <row r="8" spans="1:2" x14ac:dyDescent="0.25">
      <c r="A8" s="5" t="s">
        <v>319</v>
      </c>
      <c r="B8">
        <v>2</v>
      </c>
    </row>
    <row r="9" spans="1:2" x14ac:dyDescent="0.25">
      <c r="A9" s="5" t="s">
        <v>313</v>
      </c>
      <c r="B9">
        <v>4</v>
      </c>
    </row>
    <row r="10" spans="1:2" x14ac:dyDescent="0.25">
      <c r="A10" s="5" t="s">
        <v>163</v>
      </c>
      <c r="B10">
        <v>2</v>
      </c>
    </row>
    <row r="11" spans="1:2" x14ac:dyDescent="0.25">
      <c r="A11" s="5" t="s">
        <v>323</v>
      </c>
      <c r="B11">
        <v>3</v>
      </c>
    </row>
    <row r="12" spans="1:2" x14ac:dyDescent="0.25">
      <c r="A12" s="5" t="s">
        <v>326</v>
      </c>
      <c r="B12">
        <v>1</v>
      </c>
    </row>
    <row r="13" spans="1:2" x14ac:dyDescent="0.25">
      <c r="A13" s="5" t="s">
        <v>288</v>
      </c>
      <c r="B13">
        <v>1</v>
      </c>
    </row>
    <row r="14" spans="1:2" x14ac:dyDescent="0.25">
      <c r="A14" s="5" t="s">
        <v>324</v>
      </c>
      <c r="B14">
        <v>1</v>
      </c>
    </row>
    <row r="15" spans="1:2" x14ac:dyDescent="0.25">
      <c r="A15" s="5" t="s">
        <v>314</v>
      </c>
      <c r="B15">
        <v>3</v>
      </c>
    </row>
    <row r="16" spans="1:2" x14ac:dyDescent="0.25">
      <c r="A16" s="5" t="s">
        <v>322</v>
      </c>
      <c r="B16">
        <v>3</v>
      </c>
    </row>
    <row r="17" spans="1:2" x14ac:dyDescent="0.25">
      <c r="A17" s="5" t="s">
        <v>321</v>
      </c>
      <c r="B17">
        <v>3</v>
      </c>
    </row>
    <row r="18" spans="1:2" x14ac:dyDescent="0.25">
      <c r="A18" s="5" t="s">
        <v>316</v>
      </c>
      <c r="B18">
        <v>7</v>
      </c>
    </row>
    <row r="19" spans="1:2" x14ac:dyDescent="0.25">
      <c r="A19" s="5" t="s">
        <v>328</v>
      </c>
      <c r="B19">
        <v>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E8B26-9272-41CD-B1E2-F0C3ACFB45A9}">
  <dimension ref="A1:F18"/>
  <sheetViews>
    <sheetView workbookViewId="0">
      <selection activeCell="F4" sqref="F4"/>
    </sheetView>
  </sheetViews>
  <sheetFormatPr defaultRowHeight="15" x14ac:dyDescent="0.25"/>
  <cols>
    <col min="1" max="1" width="36.42578125" customWidth="1"/>
    <col min="2" max="2" width="23" style="5" bestFit="1" customWidth="1"/>
    <col min="3" max="3" width="14" style="5" customWidth="1"/>
    <col min="4" max="4" width="14.5703125" style="5" customWidth="1"/>
    <col min="5" max="5" width="18.7109375" style="5" customWidth="1"/>
    <col min="6" max="6" width="10.85546875" customWidth="1"/>
  </cols>
  <sheetData>
    <row r="1" spans="1:6" x14ac:dyDescent="0.25">
      <c r="A1" s="4" t="s">
        <v>311</v>
      </c>
      <c r="B1" s="5" t="s">
        <v>338</v>
      </c>
      <c r="C1" s="5" t="s">
        <v>337</v>
      </c>
      <c r="D1" s="5" t="s">
        <v>447</v>
      </c>
      <c r="E1" s="5" t="s">
        <v>448</v>
      </c>
      <c r="F1" s="5" t="s">
        <v>339</v>
      </c>
    </row>
    <row r="2" spans="1:6" x14ac:dyDescent="0.25">
      <c r="A2" s="20" t="s">
        <v>317</v>
      </c>
      <c r="B2" s="19">
        <v>5</v>
      </c>
      <c r="C2" s="6">
        <v>5</v>
      </c>
      <c r="D2" s="6">
        <f>book_series_all_table[[#This Row],[total_books_in_series]] - book_series_all_table[[#This Row],[books_read]]</f>
        <v>0</v>
      </c>
      <c r="E2" s="6">
        <v>1</v>
      </c>
      <c r="F2" s="6" t="str">
        <f>IF(book_series_all_table[[#This Row],[left_to_read]]=0,"completed","in progress")</f>
        <v>completed</v>
      </c>
    </row>
    <row r="3" spans="1:6" x14ac:dyDescent="0.25">
      <c r="A3" s="20" t="s">
        <v>299</v>
      </c>
      <c r="B3" s="19">
        <v>3</v>
      </c>
      <c r="C3" s="6">
        <v>1</v>
      </c>
      <c r="D3" s="6">
        <f>book_series_all_table[[#This Row],[total_books_in_series]] - book_series_all_table[[#This Row],[books_read]]</f>
        <v>2</v>
      </c>
      <c r="E3" s="6">
        <v>1</v>
      </c>
      <c r="F3" s="6" t="str">
        <f>IF(book_series_all_table[[#This Row],[left_to_read]]=0,"completed","in progress")</f>
        <v>in progress</v>
      </c>
    </row>
    <row r="4" spans="1:6" x14ac:dyDescent="0.25">
      <c r="A4" s="20" t="s">
        <v>320</v>
      </c>
      <c r="B4" s="19">
        <v>7</v>
      </c>
      <c r="C4" s="6">
        <v>4</v>
      </c>
      <c r="D4" s="6">
        <f>book_series_all_table[[#This Row],[total_books_in_series]] - book_series_all_table[[#This Row],[books_read]]</f>
        <v>3</v>
      </c>
      <c r="E4" s="6">
        <v>1</v>
      </c>
      <c r="F4" s="6" t="str">
        <f>IF(book_series_all_table[[#This Row],[left_to_read]]=0,"completed","in progress")</f>
        <v>in progress</v>
      </c>
    </row>
    <row r="5" spans="1:6" x14ac:dyDescent="0.25">
      <c r="A5" s="20" t="s">
        <v>312</v>
      </c>
      <c r="B5" s="19">
        <v>4</v>
      </c>
      <c r="C5" s="6">
        <v>4</v>
      </c>
      <c r="D5" s="6">
        <f>book_series_all_table[[#This Row],[total_books_in_series]] - book_series_all_table[[#This Row],[books_read]]</f>
        <v>0</v>
      </c>
      <c r="E5" s="6">
        <v>1</v>
      </c>
      <c r="F5" s="6" t="str">
        <f>IF(book_series_all_table[[#This Row],[left_to_read]]=0,"completed","in progress")</f>
        <v>completed</v>
      </c>
    </row>
    <row r="6" spans="1:6" x14ac:dyDescent="0.25">
      <c r="A6" s="20" t="s">
        <v>318</v>
      </c>
      <c r="B6" s="19">
        <v>6</v>
      </c>
      <c r="C6" s="6">
        <v>2</v>
      </c>
      <c r="D6" s="6">
        <f>book_series_all_table[[#This Row],[total_books_in_series]] - book_series_all_table[[#This Row],[books_read]]</f>
        <v>4</v>
      </c>
      <c r="E6" s="6">
        <v>1</v>
      </c>
      <c r="F6" s="6" t="str">
        <f>IF(book_series_all_table[[#This Row],[left_to_read]]=0,"completed","in progress")</f>
        <v>in progress</v>
      </c>
    </row>
    <row r="7" spans="1:6" x14ac:dyDescent="0.25">
      <c r="A7" s="20" t="s">
        <v>315</v>
      </c>
      <c r="B7" s="19">
        <v>6</v>
      </c>
      <c r="C7" s="6">
        <v>2</v>
      </c>
      <c r="D7" s="6">
        <f>book_series_all_table[[#This Row],[total_books_in_series]] - book_series_all_table[[#This Row],[books_read]]</f>
        <v>4</v>
      </c>
      <c r="E7" s="6">
        <v>5</v>
      </c>
      <c r="F7" s="6" t="str">
        <f>IF(book_series_all_table[[#This Row],[left_to_read]]=0,"completed","in progress")</f>
        <v>in progress</v>
      </c>
    </row>
    <row r="8" spans="1:6" x14ac:dyDescent="0.25">
      <c r="A8" s="20" t="s">
        <v>319</v>
      </c>
      <c r="B8" s="19">
        <v>3</v>
      </c>
      <c r="C8" s="6">
        <v>2</v>
      </c>
      <c r="D8" s="6">
        <f>book_series_all_table[[#This Row],[total_books_in_series]] - book_series_all_table[[#This Row],[books_read]]</f>
        <v>1</v>
      </c>
      <c r="E8" s="6">
        <v>1</v>
      </c>
      <c r="F8" s="6" t="str">
        <f>IF(book_series_all_table[[#This Row],[left_to_read]]=0,"completed","in progress")</f>
        <v>in progress</v>
      </c>
    </row>
    <row r="9" spans="1:6" x14ac:dyDescent="0.25">
      <c r="A9" s="20" t="s">
        <v>313</v>
      </c>
      <c r="B9" s="19">
        <v>5</v>
      </c>
      <c r="C9" s="6">
        <v>4</v>
      </c>
      <c r="D9" s="6">
        <f>book_series_all_table[[#This Row],[total_books_in_series]] - book_series_all_table[[#This Row],[books_read]]</f>
        <v>1</v>
      </c>
      <c r="E9" s="6">
        <v>2</v>
      </c>
      <c r="F9" s="6" t="str">
        <f>IF(book_series_all_table[[#This Row],[left_to_read]]=0,"completed","in progress")</f>
        <v>in progress</v>
      </c>
    </row>
    <row r="10" spans="1:6" x14ac:dyDescent="0.25">
      <c r="A10" s="20" t="s">
        <v>163</v>
      </c>
      <c r="B10" s="19">
        <v>2</v>
      </c>
      <c r="C10" s="6">
        <v>2</v>
      </c>
      <c r="D10" s="6">
        <f>book_series_all_table[[#This Row],[total_books_in_series]] - book_series_all_table[[#This Row],[books_read]]</f>
        <v>0</v>
      </c>
      <c r="E10" s="6">
        <v>1</v>
      </c>
      <c r="F10" s="6" t="str">
        <f>IF(book_series_all_table[[#This Row],[left_to_read]]=0,"completed","in progress")</f>
        <v>completed</v>
      </c>
    </row>
    <row r="11" spans="1:6" x14ac:dyDescent="0.25">
      <c r="A11" s="20" t="s">
        <v>323</v>
      </c>
      <c r="B11" s="19">
        <v>5</v>
      </c>
      <c r="C11" s="6">
        <v>3</v>
      </c>
      <c r="D11" s="6">
        <f>book_series_all_table[[#This Row],[total_books_in_series]] - book_series_all_table[[#This Row],[books_read]]</f>
        <v>2</v>
      </c>
      <c r="E11" s="6">
        <v>1</v>
      </c>
      <c r="F11" s="6" t="str">
        <f>IF(book_series_all_table[[#This Row],[left_to_read]]=0,"completed","in progress")</f>
        <v>in progress</v>
      </c>
    </row>
    <row r="12" spans="1:6" x14ac:dyDescent="0.25">
      <c r="A12" s="20" t="s">
        <v>326</v>
      </c>
      <c r="B12" s="19">
        <v>4</v>
      </c>
      <c r="C12" s="6">
        <v>1</v>
      </c>
      <c r="D12" s="6">
        <f>book_series_all_table[[#This Row],[total_books_in_series]] - book_series_all_table[[#This Row],[books_read]]</f>
        <v>3</v>
      </c>
      <c r="E12" s="6">
        <v>2</v>
      </c>
      <c r="F12" s="6" t="str">
        <f>IF(book_series_all_table[[#This Row],[left_to_read]]=0,"completed","in progress")</f>
        <v>in progress</v>
      </c>
    </row>
    <row r="13" spans="1:6" x14ac:dyDescent="0.25">
      <c r="A13" s="20" t="s">
        <v>288</v>
      </c>
      <c r="B13" s="19">
        <v>2</v>
      </c>
      <c r="C13" s="6">
        <v>1</v>
      </c>
      <c r="D13" s="6">
        <f>book_series_all_table[[#This Row],[total_books_in_series]] - book_series_all_table[[#This Row],[books_read]]</f>
        <v>1</v>
      </c>
      <c r="E13" s="6">
        <v>1</v>
      </c>
      <c r="F13" s="6" t="str">
        <f>IF(book_series_all_table[[#This Row],[left_to_read]]=0,"completed","in progress")</f>
        <v>in progress</v>
      </c>
    </row>
    <row r="14" spans="1:6" x14ac:dyDescent="0.25">
      <c r="A14" s="20" t="s">
        <v>324</v>
      </c>
      <c r="B14" s="19">
        <v>4</v>
      </c>
      <c r="C14" s="6">
        <v>1</v>
      </c>
      <c r="D14" s="6">
        <f>book_series_all_table[[#This Row],[total_books_in_series]] - book_series_all_table[[#This Row],[books_read]]</f>
        <v>3</v>
      </c>
      <c r="E14" s="6">
        <v>1</v>
      </c>
      <c r="F14" s="6" t="str">
        <f>IF(book_series_all_table[[#This Row],[left_to_read]]=0,"completed","in progress")</f>
        <v>in progress</v>
      </c>
    </row>
    <row r="15" spans="1:6" x14ac:dyDescent="0.25">
      <c r="A15" s="20" t="s">
        <v>314</v>
      </c>
      <c r="B15" s="19">
        <v>17</v>
      </c>
      <c r="C15" s="6">
        <v>3</v>
      </c>
      <c r="D15" s="6">
        <f>book_series_all_table[[#This Row],[total_books_in_series]] - book_series_all_table[[#This Row],[books_read]]</f>
        <v>14</v>
      </c>
      <c r="E15" s="6">
        <v>1</v>
      </c>
      <c r="F15" s="6" t="str">
        <f>IF(book_series_all_table[[#This Row],[left_to_read]]=0,"completed","in progress")</f>
        <v>in progress</v>
      </c>
    </row>
    <row r="16" spans="1:6" x14ac:dyDescent="0.25">
      <c r="A16" s="20" t="s">
        <v>322</v>
      </c>
      <c r="B16" s="19">
        <v>3</v>
      </c>
      <c r="C16" s="6">
        <v>3</v>
      </c>
      <c r="D16" s="6">
        <f>book_series_all_table[[#This Row],[total_books_in_series]] - book_series_all_table[[#This Row],[books_read]]</f>
        <v>0</v>
      </c>
      <c r="E16" s="6">
        <v>1</v>
      </c>
      <c r="F16" s="6" t="str">
        <f>IF(book_series_all_table[[#This Row],[left_to_read]]=0,"completed","in progress")</f>
        <v>completed</v>
      </c>
    </row>
    <row r="17" spans="1:6" x14ac:dyDescent="0.25">
      <c r="A17" s="20" t="s">
        <v>321</v>
      </c>
      <c r="B17" s="19">
        <v>3</v>
      </c>
      <c r="C17" s="6">
        <v>3</v>
      </c>
      <c r="D17" s="6">
        <f>book_series_all_table[[#This Row],[total_books_in_series]] - book_series_all_table[[#This Row],[books_read]]</f>
        <v>0</v>
      </c>
      <c r="E17" s="6">
        <v>1</v>
      </c>
      <c r="F17" s="6" t="str">
        <f>IF(book_series_all_table[[#This Row],[left_to_read]]=0,"completed","in progress")</f>
        <v>completed</v>
      </c>
    </row>
    <row r="18" spans="1:6" x14ac:dyDescent="0.25">
      <c r="A18" s="20" t="s">
        <v>316</v>
      </c>
      <c r="B18" s="19">
        <v>7</v>
      </c>
      <c r="C18" s="6">
        <v>7</v>
      </c>
      <c r="D18" s="6">
        <f>book_series_all_table[[#This Row],[total_books_in_series]] - book_series_all_table[[#This Row],[books_read]]</f>
        <v>0</v>
      </c>
      <c r="E18" s="6">
        <v>1</v>
      </c>
      <c r="F18" s="6" t="str">
        <f>IF(book_series_all_table[[#This Row],[left_to_read]]=0,"completed","in progress")</f>
        <v>completed</v>
      </c>
    </row>
  </sheetData>
  <phoneticPr fontId="1" type="noConversion"/>
  <conditionalFormatting sqref="A2:F2 A5:F5 A10:F10 A16:F18">
    <cfRule type="expression" dxfId="20" priority="10">
      <formula>$F2="completed"</formula>
    </cfRule>
  </conditionalFormatting>
  <conditionalFormatting sqref="A2:F18">
    <cfRule type="expression" dxfId="19" priority="1">
      <formula>$F2="in progress"</formula>
    </cfRule>
    <cfRule type="expression" dxfId="18" priority="2">
      <formula>$F2="completed"</formula>
    </cfRule>
    <cfRule type="expression" dxfId="17" priority="5">
      <formula>$F2="in progress"</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book_raw</vt:lpstr>
      <vt:lpstr>quotes</vt:lpstr>
      <vt:lpstr>books_by_month</vt:lpstr>
      <vt:lpstr>summary_2025</vt:lpstr>
      <vt:lpstr>book_series</vt:lpstr>
      <vt:lpstr>book_series_all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Matviyishyn</dc:creator>
  <cp:lastModifiedBy>Victoria Matviyishyn</cp:lastModifiedBy>
  <dcterms:created xsi:type="dcterms:W3CDTF">2026-01-25T21:58:49Z</dcterms:created>
  <dcterms:modified xsi:type="dcterms:W3CDTF">2026-06-01T08:18:01Z</dcterms:modified>
</cp:coreProperties>
</file>